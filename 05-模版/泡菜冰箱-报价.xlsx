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570" windowHeight="9450" firstSheet="1"/>
  </bookViews>
  <sheets>
    <sheet name="给客户报价 (2)" sheetId="12" r:id="rId1"/>
    <sheet name="Sheet1" sheetId="13" r:id="rId2"/>
  </sheets>
  <definedNames>
    <definedName name="_xlnm._FilterDatabase" localSheetId="0" hidden="1">'给客户报价 (2)'!$B$5:$WQZ$19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837BD14CB44440AB8F17A6E3C07B958" descr="b05ee25b9b7999317d623f2290a6efb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6105" y="186690"/>
          <a:ext cx="10447655" cy="6515100"/>
        </a:xfrm>
        <a:prstGeom prst="rect">
          <a:avLst/>
        </a:prstGeom>
      </xdr:spPr>
    </xdr:pic>
  </etc:cellImage>
  <etc:cellImage>
    <xdr:pic>
      <xdr:nvPicPr>
        <xdr:cNvPr id="5" name="ID_0B3F55FB1E6E4882AD664D81298C9D31"/>
        <xdr:cNvPicPr>
          <a:picLocks noChangeAspect="1"/>
        </xdr:cNvPicPr>
      </xdr:nvPicPr>
      <xdr:blipFill>
        <a:blip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1841500"/>
          <a:ext cx="952500" cy="571500"/>
        </a:xfrm>
        <a:prstGeom prst="rect">
          <a:avLst/>
        </a:prstGeom>
      </xdr:spPr>
    </xdr:pic>
  </etc:cellImage>
  <etc:cellImage>
    <xdr:pic>
      <xdr:nvPicPr>
        <xdr:cNvPr id="3" name="ID_A9359FDA2AB84608BEFF8FF4C3859088"/>
        <xdr:cNvPicPr>
          <a:picLocks noChangeAspect="1"/>
        </xdr:cNvPicPr>
      </xdr:nvPicPr>
      <xdr:blipFill>
        <a:blip r:embed="rId4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2159000"/>
          <a:ext cx="952500" cy="571500"/>
        </a:xfrm>
        <a:prstGeom prst="rect">
          <a:avLst/>
        </a:prstGeom>
      </xdr:spPr>
    </xdr:pic>
  </etc:cellImage>
  <etc:cellImage>
    <xdr:pic>
      <xdr:nvPicPr>
        <xdr:cNvPr id="4" name="ID_D3288CD571E04D6EA36C361918E674C5"/>
        <xdr:cNvPicPr>
          <a:picLocks noChangeAspect="1"/>
        </xdr:cNvPicPr>
      </xdr:nvPicPr>
      <xdr:blipFill>
        <a:blip r:embed="rId5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2476500"/>
          <a:ext cx="952500" cy="571500"/>
        </a:xfrm>
        <a:prstGeom prst="rect">
          <a:avLst/>
        </a:prstGeom>
      </xdr:spPr>
    </xdr:pic>
  </etc:cellImage>
  <etc:cellImage>
    <xdr:pic>
      <xdr:nvPicPr>
        <xdr:cNvPr id="6" name="ID_06EE72D97D3E4F95A158D4FACB932CB6"/>
        <xdr:cNvPicPr>
          <a:picLocks noChangeAspect="1"/>
        </xdr:cNvPicPr>
      </xdr:nvPicPr>
      <xdr:blipFill>
        <a:blip r:embed="rId6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1400" y="2794000"/>
          <a:ext cx="952500" cy="571500"/>
        </a:xfrm>
        <a:prstGeom prst="rect">
          <a:avLst/>
        </a:prstGeom>
      </xdr:spPr>
    </xdr:pic>
  </etc:cellImage>
  <etc:cellImage>
    <xdr:pic>
      <xdr:nvPicPr>
        <xdr:cNvPr id="14" name="ID_D6483F3F79004285A9E540A98951B1FD"/>
        <xdr:cNvPicPr>
          <a:picLocks noChangeAspect="1"/>
        </xdr:cNvPicPr>
      </xdr:nvPicPr>
      <xdr:blipFill>
        <a:blip r:embed="rId7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1875" y="3105150"/>
          <a:ext cx="952500" cy="571500"/>
        </a:xfrm>
        <a:prstGeom prst="rect">
          <a:avLst/>
        </a:prstGeom>
      </xdr:spPr>
    </xdr:pic>
  </etc:cellImage>
  <etc:cellImage>
    <xdr:pic>
      <xdr:nvPicPr>
        <xdr:cNvPr id="7" name="ID_875A4D2872A245CAA6272920FCCDFFC5"/>
        <xdr:cNvPicPr>
          <a:picLocks noChangeAspect="1"/>
        </xdr:cNvPicPr>
      </xdr:nvPicPr>
      <xdr:blipFill>
        <a:blip r:embed="rId8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3429000"/>
          <a:ext cx="952500" cy="571500"/>
        </a:xfrm>
        <a:prstGeom prst="rect">
          <a:avLst/>
        </a:prstGeom>
      </xdr:spPr>
    </xdr:pic>
  </etc:cellImage>
  <etc:cellImage>
    <xdr:pic>
      <xdr:nvPicPr>
        <xdr:cNvPr id="8" name="ID_28178E2682B94B0AAD3B4F2B5F0589A0"/>
        <xdr:cNvPicPr>
          <a:picLocks noChangeAspect="1"/>
        </xdr:cNvPicPr>
      </xdr:nvPicPr>
      <xdr:blipFill>
        <a:blip r:embed="rId9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3746500"/>
          <a:ext cx="952500" cy="571500"/>
        </a:xfrm>
        <a:prstGeom prst="rect">
          <a:avLst/>
        </a:prstGeom>
      </xdr:spPr>
    </xdr:pic>
  </etc:cellImage>
  <etc:cellImage>
    <xdr:pic>
      <xdr:nvPicPr>
        <xdr:cNvPr id="10" name="ID_0B130EB2167D4639AE3BF3F793980A2F"/>
        <xdr:cNvPicPr>
          <a:picLocks noChangeAspect="1"/>
        </xdr:cNvPicPr>
      </xdr:nvPicPr>
      <xdr:blipFill>
        <a:blip r:embed="rId10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4064000"/>
          <a:ext cx="952500" cy="571500"/>
        </a:xfrm>
        <a:prstGeom prst="rect">
          <a:avLst/>
        </a:prstGeom>
      </xdr:spPr>
    </xdr:pic>
  </etc:cellImage>
  <etc:cellImage>
    <xdr:pic>
      <xdr:nvPicPr>
        <xdr:cNvPr id="13" name="ID_2E9A9F6451514BFCB15E49D8773FF722"/>
        <xdr:cNvPicPr>
          <a:picLocks noChangeAspect="1"/>
        </xdr:cNvPicPr>
      </xdr:nvPicPr>
      <xdr:blipFill>
        <a:blip r:embed="rId11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4381500"/>
          <a:ext cx="952500" cy="571500"/>
        </a:xfrm>
        <a:prstGeom prst="rect">
          <a:avLst/>
        </a:prstGeom>
      </xdr:spPr>
    </xdr:pic>
  </etc:cellImage>
  <etc:cellImage>
    <xdr:pic>
      <xdr:nvPicPr>
        <xdr:cNvPr id="12" name="ID_5E64743FA3A14250983529D05A6EF38C"/>
        <xdr:cNvPicPr>
          <a:picLocks noChangeAspect="1"/>
        </xdr:cNvPicPr>
      </xdr:nvPicPr>
      <xdr:blipFill>
        <a:blip r:embed="rId1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4699000"/>
          <a:ext cx="952500" cy="571500"/>
        </a:xfrm>
        <a:prstGeom prst="rect">
          <a:avLst/>
        </a:prstGeom>
      </xdr:spPr>
    </xdr:pic>
  </etc:cellImage>
  <etc:cellImage>
    <xdr:pic>
      <xdr:nvPicPr>
        <xdr:cNvPr id="9" name="ID_E23587BB02C24A618C064393F22E7117"/>
        <xdr:cNvPicPr>
          <a:picLocks noChangeAspect="1"/>
        </xdr:cNvPicPr>
      </xdr:nvPicPr>
      <xdr:blipFill>
        <a:blip r:embed="rId13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5016500"/>
          <a:ext cx="952500" cy="571500"/>
        </a:xfrm>
        <a:prstGeom prst="rect">
          <a:avLst/>
        </a:prstGeom>
      </xdr:spPr>
    </xdr:pic>
  </etc:cellImage>
  <etc:cellImage>
    <xdr:pic>
      <xdr:nvPicPr>
        <xdr:cNvPr id="15" name="ID_C028BBAE1483421B80B4204E0DAC3402"/>
        <xdr:cNvPicPr>
          <a:picLocks noChangeAspect="1"/>
        </xdr:cNvPicPr>
      </xdr:nvPicPr>
      <xdr:blipFill>
        <a:blip r:embed="rId14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35200" y="5651500"/>
          <a:ext cx="952500" cy="571500"/>
        </a:xfrm>
        <a:prstGeom prst="rect">
          <a:avLst/>
        </a:prstGeom>
      </xdr:spPr>
    </xdr:pic>
  </etc:cellImage>
  <etc:cellImage>
    <xdr:pic>
      <xdr:nvPicPr>
        <xdr:cNvPr id="16" name="ID_14BAAD46F4DF4AFDB0DAA4E02BF6B4B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7656790" y="5963285"/>
          <a:ext cx="2533650" cy="2266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BDA95D1D4B84D5F9F596AA3690FE97D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743785" y="6343650"/>
          <a:ext cx="110490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156B4CD9136344B18F9C0B9430D5B5D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8716605" y="3481070"/>
          <a:ext cx="2324100" cy="227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9F364F2A0C0F455FB13784DAE61641BE"/>
        <xdr:cNvPicPr>
          <a:picLocks noChangeAspect="1"/>
        </xdr:cNvPicPr>
      </xdr:nvPicPr>
      <xdr:blipFill>
        <a:blip r:embed="rId18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5" y="11026775"/>
          <a:ext cx="952500" cy="571500"/>
        </a:xfrm>
        <a:prstGeom prst="rect">
          <a:avLst/>
        </a:prstGeom>
      </xdr:spPr>
    </xdr:pic>
  </etc:cellImage>
  <etc:cellImage>
    <xdr:pic>
      <xdr:nvPicPr>
        <xdr:cNvPr id="35" name="ID_3A13E3F3695340D3A8565F0F94B99C99"/>
        <xdr:cNvPicPr>
          <a:picLocks noChangeAspect="1"/>
        </xdr:cNvPicPr>
      </xdr:nvPicPr>
      <xdr:blipFill>
        <a:blip r:embed="rId19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5" y="11722100"/>
          <a:ext cx="952500" cy="571500"/>
        </a:xfrm>
        <a:prstGeom prst="rect">
          <a:avLst/>
        </a:prstGeom>
      </xdr:spPr>
    </xdr:pic>
  </etc:cellImage>
  <etc:cellImage>
    <xdr:pic>
      <xdr:nvPicPr>
        <xdr:cNvPr id="11" name="ID_423A7617E5E745FD97B2C27E55FBC63A"/>
        <xdr:cNvPicPr>
          <a:picLocks noChangeAspect="1"/>
        </xdr:cNvPicPr>
      </xdr:nvPicPr>
      <xdr:blipFill>
        <a:blip r:embed="rId20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5" y="12417425"/>
          <a:ext cx="952500" cy="571500"/>
        </a:xfrm>
        <a:prstGeom prst="rect">
          <a:avLst/>
        </a:prstGeom>
      </xdr:spPr>
    </xdr:pic>
  </etc:cellImage>
  <etc:cellImage>
    <xdr:pic>
      <xdr:nvPicPr>
        <xdr:cNvPr id="19" name="ID_A7CBA4BBABF349C096D892D610CEBE9D"/>
        <xdr:cNvPicPr>
          <a:picLocks noChangeAspect="1"/>
        </xdr:cNvPicPr>
      </xdr:nvPicPr>
      <xdr:blipFill>
        <a:blip r:embed="rId21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5" y="14503400"/>
          <a:ext cx="952500" cy="571500"/>
        </a:xfrm>
        <a:prstGeom prst="rect">
          <a:avLst/>
        </a:prstGeom>
      </xdr:spPr>
    </xdr:pic>
  </etc:cellImage>
  <etc:cellImage>
    <xdr:pic>
      <xdr:nvPicPr>
        <xdr:cNvPr id="23" name="ID_28F7E0F9A8214A8CB0A3DA59E881E8E2"/>
        <xdr:cNvPicPr>
          <a:picLocks noChangeAspect="1"/>
        </xdr:cNvPicPr>
      </xdr:nvPicPr>
      <xdr:blipFill>
        <a:blip r:embed="rId2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125" y="16589375"/>
          <a:ext cx="952500" cy="5715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<sst xmlns="http://schemas.openxmlformats.org/spreadsheetml/2006/main" count="254" uniqueCount="133">
  <si>
    <t>定价协议
甲方:青岛新星家用电器有限公司
乙方:青岛宏泰文峰钢塑有限公司
  经双方友好协商,特确定如下结算价格，</t>
  </si>
  <si>
    <t>序号</t>
  </si>
  <si>
    <t>物料长代码</t>
  </si>
  <si>
    <t>物料名称</t>
  </si>
  <si>
    <t>子件</t>
  </si>
  <si>
    <t>规格型号</t>
  </si>
  <si>
    <t>单位</t>
  </si>
  <si>
    <t>材料尺寸</t>
  </si>
  <si>
    <t>材料重量</t>
  </si>
  <si>
    <t>实际重量</t>
  </si>
  <si>
    <t>材料单价</t>
  </si>
  <si>
    <t>材料费</t>
  </si>
  <si>
    <t>材料费合计</t>
  </si>
  <si>
    <t>冲压/激光费（周长*单价+孔*单价）</t>
  </si>
  <si>
    <t>烧焊打磨</t>
  </si>
  <si>
    <t>螺母柱</t>
  </si>
  <si>
    <t>攻丝</t>
  </si>
  <si>
    <t>折弯工序 单价</t>
  </si>
  <si>
    <t>表面处理</t>
  </si>
  <si>
    <t>加工费</t>
  </si>
  <si>
    <t>数量</t>
  </si>
  <si>
    <t>合计</t>
  </si>
  <si>
    <t>备注</t>
  </si>
  <si>
    <t>1.11.04768TQ-01</t>
  </si>
  <si>
    <t>压机仓顶板</t>
  </si>
  <si>
    <t>0.35/镀锌板【TRF-338】</t>
  </si>
  <si>
    <t>件</t>
  </si>
  <si>
    <t>4.72*0.8+43*0.1=8.076</t>
  </si>
  <si>
    <t/>
  </si>
  <si>
    <t>15*0.8=12</t>
  </si>
  <si>
    <t>1.11.04768TQ-09</t>
  </si>
  <si>
    <t>压机仓排水管固定板</t>
  </si>
  <si>
    <t>0.85*0.8+6*0.1=1.28</t>
  </si>
  <si>
    <t>8*0.3=2.4</t>
  </si>
  <si>
    <t>1.11.04768TQ-02</t>
  </si>
  <si>
    <t>压机仓侧板左</t>
  </si>
  <si>
    <t>1.46*0.8+9*0.1=2.068</t>
  </si>
  <si>
    <t>3*0.5=1.5</t>
  </si>
  <si>
    <t>1.11.04768TQ-03</t>
  </si>
  <si>
    <t>压机仓侧板右</t>
  </si>
  <si>
    <t>1.11.04768TQ-04</t>
  </si>
  <si>
    <t>压机底板</t>
  </si>
  <si>
    <t>压机底板1</t>
  </si>
  <si>
    <t>1.5/镀锌板【TRF-338】</t>
  </si>
  <si>
    <t>5.8*1.2+33*0.12=10.92</t>
  </si>
  <si>
    <t>4*0.3=1.2</t>
  </si>
  <si>
    <t>3*0.8=2.4</t>
  </si>
  <si>
    <t>压机底板2</t>
  </si>
  <si>
    <t>5.02*1.2+54*0.12=12.504</t>
  </si>
  <si>
    <t>8*2=16</t>
  </si>
  <si>
    <t>8*0.8=6.4</t>
  </si>
  <si>
    <t>压机底板3</t>
  </si>
  <si>
    <t>0.77*1.6+15*0.16=3.632</t>
  </si>
  <si>
    <t>8*0.1=0.8</t>
  </si>
  <si>
    <t>压机底板4</t>
  </si>
  <si>
    <t xml:space="preserve">5.0 </t>
  </si>
  <si>
    <t>0.18*4+2*0.4=1.52</t>
  </si>
  <si>
    <t>4*0.1=0.4</t>
  </si>
  <si>
    <t>4*0.15=0.6</t>
  </si>
  <si>
    <t>1.11.04768TQ-05</t>
  </si>
  <si>
    <t>压机仓侧板加强铁左</t>
  </si>
  <si>
    <t>2.0/镀锌板【TRF-338】</t>
  </si>
  <si>
    <t>1.64*1.6+11*0.16=4.384</t>
  </si>
  <si>
    <t>2*0.15=0.3</t>
  </si>
  <si>
    <t>5*0.8=4</t>
  </si>
  <si>
    <t>1.11.04768TQ-06</t>
  </si>
  <si>
    <t>压机仓侧板加强铁右</t>
  </si>
  <si>
    <t>1.11.04768TQ-10</t>
  </si>
  <si>
    <t>滚轮支架固定板</t>
  </si>
  <si>
    <t>0.53*1.6+12*0.16=2.768</t>
  </si>
  <si>
    <t>3*0.3=0.9</t>
  </si>
  <si>
    <t>1.11.04768TQ-12</t>
  </si>
  <si>
    <t>滚轮前支架</t>
  </si>
  <si>
    <t>4.0/镀锌板白色喷涂【TRF-338】</t>
  </si>
  <si>
    <t>*+3*0.5=1.5</t>
  </si>
  <si>
    <t>1*1=1</t>
  </si>
  <si>
    <t>1*2=2</t>
  </si>
  <si>
    <t>1.11.49611TQ-03</t>
  </si>
  <si>
    <t>滚轮固定件</t>
  </si>
  <si>
    <t>2.5/镀锌板【TRF-578】81.2*54*2.5</t>
  </si>
  <si>
    <t>0.51*2+14*0.2=3.82</t>
  </si>
  <si>
    <t>2*0.3=0.6</t>
  </si>
  <si>
    <t>1.11.14768TQ-01</t>
  </si>
  <si>
    <t>温度传感器盖板</t>
  </si>
  <si>
    <t>1.0/铝合金【TRF-338】</t>
  </si>
  <si>
    <t>1.0</t>
  </si>
  <si>
    <t>*+2*0.5=1</t>
  </si>
  <si>
    <t>1.11.14768TQ-02</t>
  </si>
  <si>
    <t>风道接水板</t>
  </si>
  <si>
    <t>0.5/铝合金【TRF-338】</t>
  </si>
  <si>
    <t>0.93*0.8+3*0.5=2.244</t>
  </si>
  <si>
    <t>1*0.3=0.3</t>
  </si>
  <si>
    <t>0.06*3.2+2*0.5=1.192</t>
  </si>
  <si>
    <t>3*0.1=0.3</t>
  </si>
  <si>
    <t>抽屉门支架右</t>
  </si>
  <si>
    <t>1.79*1.6+11*0.5=8.364</t>
  </si>
  <si>
    <t>抽屉门支架左</t>
  </si>
  <si>
    <t>1.11.04755TQ-12</t>
  </si>
  <si>
    <t>下铰链加强铁</t>
  </si>
  <si>
    <t>镀锌板[WE2-167BUSFIX】145*57*2.0</t>
  </si>
  <si>
    <t>0.45*2.4+3*0.5=2.58</t>
  </si>
  <si>
    <t>新星报价：
1.长宽要各+10
2.激光折弯焊接打磨按照最低价格来</t>
  </si>
  <si>
    <t>零件尺寸</t>
  </si>
  <si>
    <t>激光</t>
  </si>
  <si>
    <t>焊接</t>
  </si>
  <si>
    <t>焊接标准件</t>
  </si>
  <si>
    <t>折弯</t>
  </si>
  <si>
    <t>总价</t>
  </si>
  <si>
    <t>长</t>
  </si>
  <si>
    <t>宽</t>
  </si>
  <si>
    <t>加10</t>
  </si>
  <si>
    <t>板厚</t>
  </si>
  <si>
    <t>激光线长</t>
  </si>
  <si>
    <t>激光单价</t>
  </si>
  <si>
    <t>冲刺</t>
  </si>
  <si>
    <t>单价</t>
  </si>
  <si>
    <t>激光总价</t>
  </si>
  <si>
    <t>激光总价公式</t>
  </si>
  <si>
    <t>焊接数量</t>
  </si>
  <si>
    <t>焊接单价</t>
  </si>
  <si>
    <t>焊接总价</t>
  </si>
  <si>
    <t>焊接公式</t>
  </si>
  <si>
    <t>攻丝单价</t>
  </si>
  <si>
    <t>攻丝总价</t>
  </si>
  <si>
    <t>攻丝公式</t>
  </si>
  <si>
    <t>最长尺寸</t>
  </si>
  <si>
    <t>折弯总价</t>
  </si>
  <si>
    <t>折弯公式</t>
  </si>
  <si>
    <t>92</t>
  </si>
  <si>
    <t>36</t>
  </si>
  <si>
    <t>1</t>
  </si>
  <si>
    <t>2</t>
  </si>
  <si>
    <t>550.55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</si>
</sst>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3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1"/>
      <color indexed="8"/>
      <name val="黑体"/>
      <charset val="134"/>
    </font>
    <font>
      <sz val="11"/>
      <color rgb="FF000000"/>
      <name val="等线"/>
      <charset val="134"/>
    </font>
    <font>
      <sz val="11"/>
      <color theme="1"/>
      <name val="黑体"/>
      <charset val="134"/>
    </font>
    <font>
      <sz val="9.75"/>
      <color rgb="FF000000"/>
      <name val="Consolas"/>
      <charset val="134"/>
    </font>
    <font>
      <sz val="14"/>
      <color rgb="FF1C1F23"/>
      <name val="Segoe UI"/>
      <charset val="134"/>
    </font>
    <font>
      <sz val="12"/>
      <name val="楷体_GB2312"/>
      <charset val="134"/>
    </font>
    <font>
      <sz val="10.8"/>
      <color rgb="FF000000"/>
      <name val="Consolas"/>
      <charset val="134"/>
    </font>
    <font>
      <sz val="11"/>
      <color rgb="FF000000"/>
      <name val="宋体"/>
      <charset val="134"/>
    </font>
    <font>
      <b/>
      <sz val="16"/>
      <name val="黑体"/>
      <charset val="134"/>
    </font>
    <font>
      <sz val="12"/>
      <color indexed="8"/>
      <name val="黑体"/>
      <charset val="134"/>
    </font>
    <font>
      <sz val="9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8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176" fontId="4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10" fillId="0" borderId="7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/>
    </xf>
    <xf numFmtId="176" fontId="10" fillId="0" borderId="8" xfId="0" applyNumberFormat="1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176" fontId="10" fillId="0" borderId="0" xfId="0" applyNumberFormat="1" applyFont="1" applyFill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76" fontId="10" fillId="0" borderId="12" xfId="0" applyNumberFormat="1" applyFont="1" applyFill="1" applyBorder="1" applyAlignment="1">
      <alignment vertical="center"/>
    </xf>
    <xf numFmtId="0" fontId="10" fillId="0" borderId="6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1" fillId="0" borderId="1" xfId="49" applyNumberFormat="1" applyFont="1" applyFill="1" applyBorder="1" applyAlignment="1">
      <alignment horizontal="center" vertical="center"/>
    </xf>
    <xf numFmtId="0" fontId="11" fillId="0" borderId="1" xfId="49" applyNumberFormat="1" applyFont="1" applyFill="1" applyBorder="1" applyAlignment="1">
      <alignment horizontal="center" vertical="center" wrapText="1"/>
    </xf>
    <xf numFmtId="0" fontId="11" fillId="0" borderId="1" xfId="49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11" fillId="0" borderId="1" xfId="49" applyNumberFormat="1" applyFont="1" applyFill="1" applyBorder="1" applyAlignment="1" quotePrefix="1">
      <alignment horizontal="center" vertical="center"/>
    </xf>
    <xf numFmtId="0" fontId="11" fillId="0" borderId="1" xfId="49" applyNumberFormat="1" applyFont="1" applyFill="1" applyBorder="1" applyAlignment="1" quotePrefix="1">
      <alignment horizontal="center" vertical="center" wrapText="1"/>
    </xf>
    <xf numFmtId="49" fontId="0" fillId="3" borderId="1" xfId="0" applyNumberFormat="1" applyFont="1" applyFill="1" applyBorder="1" applyAlignment="1" quotePrefix="1">
      <alignment horizontal="center" vertical="center" wrapText="1"/>
    </xf>
    <xf numFmtId="49" fontId="0" fillId="0" borderId="1" xfId="0" applyNumberFormat="1" applyFont="1" applyFill="1" applyBorder="1" applyAlignment="1" quotePrefix="1">
      <alignment horizontal="center" vertical="center" wrapText="1"/>
    </xf>
    <xf numFmtId="49" fontId="0" fillId="0" borderId="1" xfId="0" applyNumberFormat="1" applyBorder="1" applyAlignment="1" quotePrefix="1">
      <alignment horizontal="center" vertical="center" wrapText="1"/>
    </xf>
    <xf numFmtId="49" fontId="0" fillId="0" borderId="1" xfId="0" applyNumberForma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NULL" TargetMode="External"/><Relationship Id="rId22" Type="http://schemas.openxmlformats.org/officeDocument/2006/relationships/image" Target="media/image21.png"/><Relationship Id="rId21" Type="http://schemas.openxmlformats.org/officeDocument/2006/relationships/image" Target="media/image20.png"/><Relationship Id="rId20" Type="http://schemas.openxmlformats.org/officeDocument/2006/relationships/image" Target="media/image19.png"/><Relationship Id="rId2" Type="http://schemas.openxmlformats.org/officeDocument/2006/relationships/image" Target="media/image2.png"/><Relationship Id="rId19" Type="http://schemas.openxmlformats.org/officeDocument/2006/relationships/image" Target="media/image18.png"/><Relationship Id="rId18" Type="http://schemas.openxmlformats.org/officeDocument/2006/relationships/image" Target="media/image17.png"/><Relationship Id="rId17" Type="http://schemas.openxmlformats.org/officeDocument/2006/relationships/image" Target="media/image16.png"/><Relationship Id="rId16" Type="http://schemas.openxmlformats.org/officeDocument/2006/relationships/image" Target="media/image15.png"/><Relationship Id="rId15" Type="http://schemas.openxmlformats.org/officeDocument/2006/relationships/image" Target="media/image14.png"/><Relationship Id="rId14" Type="http://schemas.openxmlformats.org/officeDocument/2006/relationships/image" Target="media/image13.png"/><Relationship Id="rId13" Type="http://schemas.openxmlformats.org/officeDocument/2006/relationships/image" Target="media/image12.png"/><Relationship Id="rId12" Type="http://schemas.openxmlformats.org/officeDocument/2006/relationships/image" Target="media/image11.png"/><Relationship Id="rId11" Type="http://schemas.openxmlformats.org/officeDocument/2006/relationships/image" Target="media/image10.png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25"/>
  <sheetViews>
    <sheetView tabSelected="1" zoomScale="55" zoomScaleNormal="55" workbookViewId="0">
      <pane xSplit="2" ySplit="5" topLeftCell="P6" activePane="bottomRight" state="frozen"/>
      <selection/>
      <selection pane="topRight"/>
      <selection pane="bottomLeft"/>
      <selection pane="bottomRight" activeCell="AA17" sqref="AA17"/>
    </sheetView>
  </sheetViews>
  <sheetFormatPr defaultColWidth="9" defaultRowHeight="14"/>
  <cols>
    <col min="1" max="1" width="6" style="50" customWidth="1"/>
    <col min="2" max="2" width="17.3636363636364" style="49" customWidth="1"/>
    <col min="3" max="3" width="20.8181818181818" style="51" customWidth="1"/>
    <col min="4" max="4" width="9.63636363636364" style="51" customWidth="1"/>
    <col min="5" max="5" width="36.5454545454545" style="49" customWidth="1"/>
    <col min="6" max="6" width="5.37272727272727" style="49" customWidth="1"/>
    <col min="7" max="7" width="8.37272727272727" style="50" customWidth="1"/>
    <col min="8" max="8" width="7.37272727272727" style="50" customWidth="1"/>
    <col min="9" max="9" width="7.13636363636364" style="50" customWidth="1"/>
    <col min="10" max="10" width="11.0727272727273" style="52" customWidth="1"/>
    <col min="11" max="11" width="9.37272727272727" style="52" customWidth="1"/>
    <col min="12" max="13" width="7.13636363636364" style="52" customWidth="1"/>
    <col min="14" max="14" width="12.6272727272727" style="52" customWidth="1"/>
    <col min="15" max="15" width="36" style="50" customWidth="1"/>
    <col min="16" max="16" width="10.3727272727273" style="50" customWidth="1"/>
    <col min="17" max="17" width="10" style="50" customWidth="1"/>
    <col min="18" max="18" width="12.6272727272727" style="50" customWidth="1"/>
    <col min="19" max="19" width="24.8727272727273" style="52" customWidth="1"/>
    <col min="20" max="20" width="17.9545454545455" style="52" customWidth="1"/>
    <col min="21" max="21" width="11.9545454545455" style="52" customWidth="1"/>
    <col min="22" max="22" width="8.57272727272727" style="50" customWidth="1"/>
    <col min="23" max="23" width="13.6272727272727" style="52" customWidth="1"/>
    <col min="24" max="24" width="15.9" style="52" customWidth="1"/>
    <col min="25" max="25" width="13.6363636363636" style="49"/>
    <col min="26" max="26" width="21.8181818181818" style="49" customWidth="1"/>
    <col min="27" max="16011" width="9" style="49"/>
    <col min="16012" max="16012" width="9" style="53"/>
    <col min="16013" max="16384" width="9" style="49"/>
  </cols>
  <sheetData>
    <row r="1" s="47" customFormat="1" ht="29" customHeight="1" spans="1:26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55"/>
      <c r="P1" s="55"/>
      <c r="Q1" s="55"/>
      <c r="R1" s="55"/>
      <c r="S1" s="55"/>
      <c r="T1" s="55"/>
      <c r="U1" s="55"/>
      <c r="V1" s="55"/>
      <c r="W1" s="55"/>
      <c r="X1" s="57"/>
    </row>
    <row r="2" s="47" customFormat="1" ht="29" customHeight="1" spans="1:26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59"/>
      <c r="P2" s="59"/>
      <c r="Q2" s="59"/>
      <c r="R2" s="59"/>
      <c r="S2" s="59"/>
      <c r="T2" s="59"/>
      <c r="U2" s="59"/>
      <c r="V2" s="59"/>
      <c r="W2" s="59"/>
      <c r="X2" s="61"/>
    </row>
    <row r="3" s="47" customFormat="1" ht="29" customHeight="1" spans="1:26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59"/>
      <c r="P3" s="59"/>
      <c r="Q3" s="59"/>
      <c r="R3" s="59"/>
      <c r="S3" s="59"/>
      <c r="T3" s="59"/>
      <c r="U3" s="59"/>
      <c r="V3" s="59"/>
      <c r="W3" s="59"/>
      <c r="X3" s="61"/>
    </row>
    <row r="4" s="47" customFormat="1" ht="29" customHeight="1" spans="1:26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  <c r="O4" s="63"/>
      <c r="P4" s="63"/>
      <c r="Q4" s="63"/>
      <c r="R4" s="63"/>
      <c r="S4" s="63"/>
      <c r="T4" s="63"/>
      <c r="U4" s="63"/>
      <c r="V4" s="63"/>
      <c r="W4" s="63"/>
      <c r="X4" s="65"/>
    </row>
    <row r="5" s="48" customFormat="1" ht="24" customHeight="1" spans="1:26">
      <c r="A5" s="66" t="s">
        <v>1</v>
      </c>
      <c r="B5" s="86" t="s">
        <v>2</v>
      </c>
      <c r="C5" s="87" t="s">
        <v>3</v>
      </c>
      <c r="D5" s="68" t="s">
        <v>4</v>
      </c>
      <c r="E5" s="86" t="s">
        <v>5</v>
      </c>
      <c r="F5" s="69" t="s">
        <v>6</v>
      </c>
      <c r="G5" s="67" t="s">
        <v>7</v>
      </c>
      <c r="H5" s="67"/>
      <c r="I5" s="67"/>
      <c r="J5" s="70" t="s">
        <v>8</v>
      </c>
      <c r="K5" s="70" t="s">
        <v>9</v>
      </c>
      <c r="L5" s="70" t="s">
        <v>10</v>
      </c>
      <c r="M5" s="70" t="s">
        <v>11</v>
      </c>
      <c r="N5" s="70" t="s">
        <v>12</v>
      </c>
      <c r="O5" s="66" t="s">
        <v>13</v>
      </c>
      <c r="P5" s="66" t="s">
        <v>14</v>
      </c>
      <c r="Q5" s="66" t="s">
        <v>15</v>
      </c>
      <c r="R5" s="66" t="s">
        <v>16</v>
      </c>
      <c r="S5" s="66" t="s">
        <v>17</v>
      </c>
      <c r="T5" s="66" t="s">
        <v>18</v>
      </c>
      <c r="U5" s="70" t="s">
        <v>19</v>
      </c>
      <c r="V5" s="66" t="s">
        <v>20</v>
      </c>
      <c r="W5" s="70" t="s">
        <v>21</v>
      </c>
      <c r="X5" s="70" t="s">
        <v>22</v>
      </c>
    </row>
    <row r="6" ht="32" customHeight="1" spans="1:26">
      <c r="A6" s="15">
        <v>1</v>
      </c>
      <c r="B6" s="3" t="s">
        <v>23</v>
      </c>
      <c r="C6" s="3" t="s">
        <v>24</v>
      </c>
      <c r="D6" s="11"/>
      <c r="E6" s="3" t="s">
        <v>25</v>
      </c>
      <c r="F6" s="71" t="s">
        <v>26</v>
      </c>
      <c r="G6" s="3">
        <v>695.65</v>
      </c>
      <c r="H6" s="13">
        <v>651.58</v>
      </c>
      <c r="I6" s="12">
        <v>0.3</v>
      </c>
      <c r="J6" s="25">
        <f t="shared" ref="J6:J18" si="0">G6*H6*I6*7.85/1000000</f>
        <v>1.067454681585</v>
      </c>
      <c r="K6" s="25"/>
      <c r="L6" s="25">
        <v>5</v>
      </c>
      <c r="M6" s="25">
        <f>J6*L6</f>
        <v>5.337273407925</v>
      </c>
      <c r="N6" s="25">
        <f>M6*V6</f>
        <v>5.337273407925</v>
      </c>
      <c r="O6" s="15" t="s">
        <v>27</v>
      </c>
      <c r="P6" s="15" t="s">
        <v>28</v>
      </c>
      <c r="Q6" s="15" t="s">
        <v>28</v>
      </c>
      <c r="R6" s="15" t="s">
        <v>28</v>
      </c>
      <c r="S6" s="15" t="s">
        <v>29</v>
      </c>
      <c r="T6" s="15"/>
      <c r="U6" s="17">
        <v>20.076</v>
      </c>
      <c r="V6" s="15">
        <v>1</v>
      </c>
      <c r="W6" s="25">
        <f>U6+M6</f>
        <v>25.413273407925</v>
      </c>
      <c r="X6" s="25"/>
      <c r="Y6" s="16" t="str">
        <f>_xlfn.DISPIMG("ID_0B3F55FB1E6E4882AD664D81298C9D31",1)</f>
        <v>=DISPIMG("ID_0B3F55FB1E6E4882AD664D81298C9D31",1)</v>
      </c>
    </row>
    <row r="7" ht="32" customHeight="1" spans="1:26">
      <c r="A7" s="15">
        <v>3</v>
      </c>
      <c r="B7" s="3" t="s">
        <v>30</v>
      </c>
      <c r="C7" s="3" t="s">
        <v>31</v>
      </c>
      <c r="D7" s="11"/>
      <c r="E7" s="3" t="s">
        <v>25</v>
      </c>
      <c r="F7" s="71" t="s">
        <v>26</v>
      </c>
      <c r="G7" s="3">
        <v>230.52</v>
      </c>
      <c r="H7" s="13">
        <v>168.48</v>
      </c>
      <c r="I7" s="12">
        <v>0.3</v>
      </c>
      <c r="J7" s="25">
        <f t="shared" si="0"/>
        <v>0.091463512608</v>
      </c>
      <c r="K7" s="25"/>
      <c r="L7" s="25">
        <v>5</v>
      </c>
      <c r="M7" s="25">
        <f>J7*L7</f>
        <v>0.45731756304</v>
      </c>
      <c r="N7" s="25">
        <f t="shared" ref="N7:N24" si="1">M7*V7</f>
        <v>0.45731756304</v>
      </c>
      <c r="O7" s="15" t="s">
        <v>32</v>
      </c>
      <c r="P7" s="15" t="s">
        <v>28</v>
      </c>
      <c r="Q7" s="15" t="s">
        <v>28</v>
      </c>
      <c r="R7" s="15" t="s">
        <v>28</v>
      </c>
      <c r="S7" s="15" t="s">
        <v>33</v>
      </c>
      <c r="T7" s="15"/>
      <c r="U7" s="72">
        <v>3.68</v>
      </c>
      <c r="V7" s="15">
        <v>1</v>
      </c>
      <c r="W7" s="25">
        <f t="shared" ref="W7:W20" si="2">U7+M7</f>
        <v>4.13731756304</v>
      </c>
      <c r="X7" s="25"/>
      <c r="Y7" s="16" t="str">
        <f>_xlfn.DISPIMG("ID_A9359FDA2AB84608BEFF8FF4C3859088",1)</f>
        <v>=DISPIMG("ID_A9359FDA2AB84608BEFF8FF4C3859088",1)</v>
      </c>
    </row>
    <row r="8" s="49" customFormat="1" ht="32" customHeight="1" spans="1:26">
      <c r="A8" s="15">
        <v>4</v>
      </c>
      <c r="B8" s="3" t="s">
        <v>34</v>
      </c>
      <c r="C8" s="3" t="s">
        <v>35</v>
      </c>
      <c r="D8" s="11"/>
      <c r="E8" s="3" t="s">
        <v>25</v>
      </c>
      <c r="F8" s="71" t="s">
        <v>26</v>
      </c>
      <c r="G8" s="3">
        <v>334.04</v>
      </c>
      <c r="H8" s="13">
        <v>281.25</v>
      </c>
      <c r="I8" s="12">
        <v>0.3</v>
      </c>
      <c r="J8" s="25">
        <f t="shared" si="0"/>
        <v>0.22124930625</v>
      </c>
      <c r="K8" s="25"/>
      <c r="L8" s="25">
        <v>5</v>
      </c>
      <c r="M8" s="25">
        <f>J8*L8</f>
        <v>1.10624653125</v>
      </c>
      <c r="N8" s="25">
        <f t="shared" si="1"/>
        <v>1.10624653125</v>
      </c>
      <c r="O8" s="24" t="s">
        <v>36</v>
      </c>
      <c r="P8" s="15" t="s">
        <v>28</v>
      </c>
      <c r="Q8" s="15" t="s">
        <v>28</v>
      </c>
      <c r="R8" s="15" t="s">
        <v>28</v>
      </c>
      <c r="S8" s="15" t="s">
        <v>37</v>
      </c>
      <c r="T8" s="15"/>
      <c r="U8" s="72">
        <v>3.568</v>
      </c>
      <c r="V8" s="15">
        <v>1</v>
      </c>
      <c r="W8" s="25">
        <f t="shared" si="2"/>
        <v>4.67424653125</v>
      </c>
      <c r="X8" s="25"/>
      <c r="Y8" s="16" t="str">
        <f>_xlfn.DISPIMG("ID_D3288CD571E04D6EA36C361918E674C5",1)</f>
        <v>=DISPIMG("ID_D3288CD571E04D6EA36C361918E674C5",1)</v>
      </c>
    </row>
    <row r="9" ht="32" customHeight="1" spans="1:26">
      <c r="A9" s="15">
        <v>5</v>
      </c>
      <c r="B9" s="3" t="s">
        <v>38</v>
      </c>
      <c r="C9" s="3" t="s">
        <v>39</v>
      </c>
      <c r="D9" s="11"/>
      <c r="E9" s="3" t="s">
        <v>25</v>
      </c>
      <c r="F9" s="71" t="s">
        <v>26</v>
      </c>
      <c r="G9" s="3">
        <v>334.04</v>
      </c>
      <c r="H9" s="13">
        <v>281.25</v>
      </c>
      <c r="I9" s="12">
        <v>0.3</v>
      </c>
      <c r="J9" s="25">
        <f t="shared" si="0"/>
        <v>0.22124930625</v>
      </c>
      <c r="K9" s="25"/>
      <c r="L9" s="25">
        <v>5</v>
      </c>
      <c r="M9" s="25">
        <f>J9*L9</f>
        <v>1.10624653125</v>
      </c>
      <c r="N9" s="25">
        <f t="shared" si="1"/>
        <v>1.10624653125</v>
      </c>
      <c r="O9" s="24" t="s">
        <v>36</v>
      </c>
      <c r="P9" s="15" t="s">
        <v>28</v>
      </c>
      <c r="Q9" s="15" t="s">
        <v>28</v>
      </c>
      <c r="R9" s="15" t="s">
        <v>28</v>
      </c>
      <c r="S9" s="15" t="s">
        <v>37</v>
      </c>
      <c r="T9" s="15"/>
      <c r="U9" s="72">
        <v>3.568</v>
      </c>
      <c r="V9" s="15">
        <v>1</v>
      </c>
      <c r="W9" s="25">
        <f t="shared" si="2"/>
        <v>4.67424653125</v>
      </c>
      <c r="X9" s="25"/>
      <c r="Y9" s="16" t="str">
        <f>_xlfn.DISPIMG("ID_06EE72D97D3E4F95A158D4FACB932CB6",1)</f>
        <v>=DISPIMG("ID_06EE72D97D3E4F95A158D4FACB932CB6",1)</v>
      </c>
    </row>
    <row r="10" ht="32" customHeight="1" spans="1:26">
      <c r="A10" s="15">
        <v>6</v>
      </c>
      <c r="B10" s="73" t="s">
        <v>40</v>
      </c>
      <c r="C10" s="73" t="s">
        <v>41</v>
      </c>
      <c r="D10" s="88" t="s">
        <v>42</v>
      </c>
      <c r="E10" s="73" t="s">
        <v>43</v>
      </c>
      <c r="F10" s="71" t="s">
        <v>26</v>
      </c>
      <c r="G10" s="3">
        <v>695</v>
      </c>
      <c r="H10" s="13">
        <v>302.2</v>
      </c>
      <c r="I10" s="12">
        <v>1.5</v>
      </c>
      <c r="J10" s="25">
        <f t="shared" si="0"/>
        <v>2.473091475</v>
      </c>
      <c r="K10" s="25">
        <v>1.45</v>
      </c>
      <c r="L10" s="25">
        <v>5</v>
      </c>
      <c r="M10" s="25">
        <f>J10*L10</f>
        <v>12.365457375</v>
      </c>
      <c r="N10" s="25">
        <f t="shared" si="1"/>
        <v>12.365457375</v>
      </c>
      <c r="O10" s="24" t="s">
        <v>44</v>
      </c>
      <c r="P10" s="15" t="s">
        <v>28</v>
      </c>
      <c r="Q10" s="15" t="s">
        <v>45</v>
      </c>
      <c r="R10" s="15" t="s">
        <v>28</v>
      </c>
      <c r="S10" s="15" t="s">
        <v>46</v>
      </c>
      <c r="T10" s="15"/>
      <c r="U10" s="3">
        <v>14.52</v>
      </c>
      <c r="V10" s="15">
        <v>1</v>
      </c>
      <c r="W10" s="75" cm="1">
        <f t="array" ref="W10">SUMPRODUCT(U10:U13,V10:V13)+N10+N11+N12+N13</f>
        <v>93.30341074325</v>
      </c>
      <c r="X10" s="25"/>
      <c r="Y10" s="16" t="str">
        <f>_xlfn.DISPIMG("ID_D6483F3F79004285A9E540A98951B1FD",1)</f>
        <v>=DISPIMG("ID_D6483F3F79004285A9E540A98951B1FD",1)</v>
      </c>
      <c r="Z10" s="50" t="str">
        <f>_xlfn.DISPIMG("ID_156B4CD9136344B18F9C0B9430D5B5D7",1)</f>
        <v>=DISPIMG("ID_156B4CD9136344B18F9C0B9430D5B5D7",1)</v>
      </c>
    </row>
    <row r="11" ht="32" customHeight="1" spans="1:26">
      <c r="A11" s="15">
        <v>7</v>
      </c>
      <c r="B11" s="76"/>
      <c r="C11" s="76"/>
      <c r="D11" s="88" t="s">
        <v>47</v>
      </c>
      <c r="E11" s="76"/>
      <c r="F11" s="71" t="s">
        <v>26</v>
      </c>
      <c r="G11" s="3">
        <v>662.9</v>
      </c>
      <c r="H11" s="13">
        <v>219.9</v>
      </c>
      <c r="I11" s="12">
        <v>1.5</v>
      </c>
      <c r="J11" s="25">
        <f t="shared" si="0"/>
        <v>1.71646188525</v>
      </c>
      <c r="K11" s="25"/>
      <c r="L11" s="25">
        <v>5</v>
      </c>
      <c r="M11" s="25">
        <f>J11*L11</f>
        <v>8.58230942625</v>
      </c>
      <c r="N11" s="25">
        <f t="shared" si="1"/>
        <v>8.58230942625</v>
      </c>
      <c r="O11" s="25" t="s">
        <v>48</v>
      </c>
      <c r="P11" s="15" t="s">
        <v>49</v>
      </c>
      <c r="Q11" s="15"/>
      <c r="R11" s="15"/>
      <c r="S11" s="15" t="s">
        <v>50</v>
      </c>
      <c r="T11" s="15"/>
      <c r="U11" s="72">
        <v>34.904</v>
      </c>
      <c r="V11" s="15">
        <v>1</v>
      </c>
      <c r="W11" s="77"/>
      <c r="X11" s="25"/>
      <c r="Y11" s="16" t="str">
        <f>_xlfn.DISPIMG("ID_875A4D2872A245CAA6272920FCCDFFC5",1)</f>
        <v>=DISPIMG("ID_875A4D2872A245CAA6272920FCCDFFC5",1)</v>
      </c>
      <c r="Z11" s="50"/>
    </row>
    <row r="12" ht="32" customHeight="1" spans="1:26">
      <c r="A12" s="15">
        <v>8</v>
      </c>
      <c r="B12" s="76"/>
      <c r="C12" s="76"/>
      <c r="D12" s="88" t="s">
        <v>51</v>
      </c>
      <c r="E12" s="76"/>
      <c r="F12" s="71" t="s">
        <v>26</v>
      </c>
      <c r="G12" s="3">
        <v>106</v>
      </c>
      <c r="H12" s="13">
        <v>70</v>
      </c>
      <c r="I12" s="12">
        <v>2</v>
      </c>
      <c r="J12" s="25">
        <f t="shared" si="0"/>
        <v>0.116494</v>
      </c>
      <c r="K12" s="25"/>
      <c r="L12" s="25">
        <v>5</v>
      </c>
      <c r="M12" s="25">
        <f>J12*L12</f>
        <v>0.58247</v>
      </c>
      <c r="N12" s="25">
        <f t="shared" si="1"/>
        <v>1.16494</v>
      </c>
      <c r="O12" s="25" t="s">
        <v>52</v>
      </c>
      <c r="P12" s="15" t="s">
        <v>53</v>
      </c>
      <c r="Q12" s="15"/>
      <c r="R12" s="15"/>
      <c r="S12" s="15" t="s">
        <v>28</v>
      </c>
      <c r="T12" s="15"/>
      <c r="U12" s="72">
        <v>4.432</v>
      </c>
      <c r="V12" s="15">
        <v>2</v>
      </c>
      <c r="W12" s="77"/>
      <c r="X12" s="25"/>
      <c r="Y12" s="16" t="str">
        <f>_xlfn.DISPIMG("ID_28178E2682B94B0AAD3B4F2B5F0589A0",1)</f>
        <v>=DISPIMG("ID_28178E2682B94B0AAD3B4F2B5F0589A0",1)</v>
      </c>
      <c r="Z12" s="50"/>
    </row>
    <row r="13" s="49" customFormat="1" ht="32" customHeight="1" spans="1:26">
      <c r="A13" s="15">
        <v>9</v>
      </c>
      <c r="B13" s="78"/>
      <c r="C13" s="78"/>
      <c r="D13" s="88" t="s">
        <v>54</v>
      </c>
      <c r="E13" s="78"/>
      <c r="F13" s="71" t="s">
        <v>26</v>
      </c>
      <c r="G13" s="3">
        <v>59.97</v>
      </c>
      <c r="H13" s="13">
        <v>59.96</v>
      </c>
      <c r="I13" s="89" t="s">
        <v>55</v>
      </c>
      <c r="J13" s="25">
        <f t="shared" si="0"/>
        <v>0.1411351971</v>
      </c>
      <c r="K13" s="25"/>
      <c r="L13" s="25">
        <v>5</v>
      </c>
      <c r="M13" s="25">
        <f>J13*L13</f>
        <v>0.7056759855</v>
      </c>
      <c r="N13" s="25">
        <f t="shared" si="1"/>
        <v>2.822703942</v>
      </c>
      <c r="O13" s="25" t="s">
        <v>56</v>
      </c>
      <c r="P13" s="15" t="s">
        <v>57</v>
      </c>
      <c r="Q13" s="15"/>
      <c r="R13" s="15" t="s">
        <v>58</v>
      </c>
      <c r="S13" s="15" t="s">
        <v>28</v>
      </c>
      <c r="T13" s="15"/>
      <c r="U13" s="72">
        <v>2.52</v>
      </c>
      <c r="V13" s="15">
        <v>4</v>
      </c>
      <c r="W13" s="79"/>
      <c r="X13" s="25"/>
      <c r="Y13" s="16" t="str">
        <f>_xlfn.DISPIMG("ID_0B130EB2167D4639AE3BF3F793980A2F",1)</f>
        <v>=DISPIMG("ID_0B130EB2167D4639AE3BF3F793980A2F",1)</v>
      </c>
      <c r="Z13" s="50"/>
    </row>
    <row r="14" ht="32" customHeight="1" spans="1:26">
      <c r="A14" s="15">
        <v>10</v>
      </c>
      <c r="B14" s="3" t="s">
        <v>59</v>
      </c>
      <c r="C14" s="3" t="s">
        <v>60</v>
      </c>
      <c r="D14" s="11"/>
      <c r="E14" s="3" t="s">
        <v>61</v>
      </c>
      <c r="F14" s="71" t="s">
        <v>26</v>
      </c>
      <c r="G14" s="3">
        <v>67.23</v>
      </c>
      <c r="H14" s="13">
        <v>684.54</v>
      </c>
      <c r="I14" s="12">
        <v>2</v>
      </c>
      <c r="J14" s="25">
        <f t="shared" si="0"/>
        <v>0.72253949994</v>
      </c>
      <c r="K14" s="25"/>
      <c r="L14" s="25">
        <v>5</v>
      </c>
      <c r="M14" s="25">
        <f>J14*L14</f>
        <v>3.6126974997</v>
      </c>
      <c r="N14" s="25">
        <f t="shared" si="1"/>
        <v>3.6126974997</v>
      </c>
      <c r="O14" s="25" t="s">
        <v>62</v>
      </c>
      <c r="P14" s="15" t="s">
        <v>28</v>
      </c>
      <c r="Q14" s="15" t="s">
        <v>28</v>
      </c>
      <c r="R14" s="15" t="s">
        <v>63</v>
      </c>
      <c r="S14" s="15" t="s">
        <v>64</v>
      </c>
      <c r="T14" s="15"/>
      <c r="U14" s="72">
        <v>8.684</v>
      </c>
      <c r="V14" s="15">
        <v>1</v>
      </c>
      <c r="W14" s="25">
        <f t="shared" si="2"/>
        <v>12.2966974997</v>
      </c>
      <c r="X14" s="25"/>
      <c r="Y14" s="16" t="str">
        <f>_xlfn.DISPIMG("ID_2E9A9F6451514BFCB15E49D8773FF722",1)</f>
        <v>=DISPIMG("ID_2E9A9F6451514BFCB15E49D8773FF722",1)</v>
      </c>
    </row>
    <row r="15" s="49" customFormat="1" ht="32" customHeight="1" spans="1:26">
      <c r="A15" s="15">
        <v>11</v>
      </c>
      <c r="B15" s="3" t="s">
        <v>65</v>
      </c>
      <c r="C15" s="3" t="s">
        <v>66</v>
      </c>
      <c r="D15" s="11"/>
      <c r="E15" s="3" t="s">
        <v>61</v>
      </c>
      <c r="F15" s="71" t="s">
        <v>26</v>
      </c>
      <c r="G15" s="3">
        <v>67.23</v>
      </c>
      <c r="H15" s="13">
        <v>684.54</v>
      </c>
      <c r="I15" s="12">
        <v>2</v>
      </c>
      <c r="J15" s="25">
        <f t="shared" si="0"/>
        <v>0.72253949994</v>
      </c>
      <c r="K15" s="25"/>
      <c r="L15" s="25">
        <v>5</v>
      </c>
      <c r="M15" s="25">
        <f t="shared" ref="M15:M24" si="3">J15*L15</f>
        <v>3.6126974997</v>
      </c>
      <c r="N15" s="25">
        <f t="shared" si="1"/>
        <v>3.6126974997</v>
      </c>
      <c r="O15" s="25" t="s">
        <v>62</v>
      </c>
      <c r="P15" s="15" t="s">
        <v>28</v>
      </c>
      <c r="Q15" s="15" t="s">
        <v>28</v>
      </c>
      <c r="R15" s="15" t="s">
        <v>63</v>
      </c>
      <c r="S15" s="15" t="s">
        <v>64</v>
      </c>
      <c r="T15" s="15"/>
      <c r="U15" s="72">
        <v>8.684</v>
      </c>
      <c r="V15" s="15">
        <v>1</v>
      </c>
      <c r="W15" s="25">
        <f t="shared" si="2"/>
        <v>12.2966974997</v>
      </c>
      <c r="X15" s="25"/>
      <c r="Y15" s="16" t="str">
        <f>_xlfn.DISPIMG("ID_5E64743FA3A14250983529D05A6EF38C",1)</f>
        <v>=DISPIMG("ID_5E64743FA3A14250983529D05A6EF38C",1)</v>
      </c>
    </row>
    <row r="16" ht="32" customHeight="1" spans="1:26">
      <c r="A16" s="15">
        <v>12</v>
      </c>
      <c r="B16" s="3" t="s">
        <v>67</v>
      </c>
      <c r="C16" s="3" t="s">
        <v>68</v>
      </c>
      <c r="D16" s="11"/>
      <c r="E16" s="3" t="s">
        <v>61</v>
      </c>
      <c r="F16" s="71" t="s">
        <v>26</v>
      </c>
      <c r="G16" s="26">
        <v>120.1</v>
      </c>
      <c r="H16" s="27">
        <v>118.32</v>
      </c>
      <c r="I16" s="12">
        <v>2</v>
      </c>
      <c r="J16" s="25">
        <f t="shared" si="0"/>
        <v>0.2231006424</v>
      </c>
      <c r="K16" s="25"/>
      <c r="L16" s="25">
        <v>5</v>
      </c>
      <c r="M16" s="25">
        <f t="shared" si="3"/>
        <v>1.115503212</v>
      </c>
      <c r="N16" s="25">
        <f t="shared" si="1"/>
        <v>1.115503212</v>
      </c>
      <c r="O16" s="25" t="s">
        <v>69</v>
      </c>
      <c r="P16" s="15" t="s">
        <v>28</v>
      </c>
      <c r="Q16" s="15" t="s">
        <v>28</v>
      </c>
      <c r="R16" s="15" t="s">
        <v>28</v>
      </c>
      <c r="S16" s="15" t="s">
        <v>70</v>
      </c>
      <c r="T16" s="15"/>
      <c r="U16" s="3">
        <v>3.668</v>
      </c>
      <c r="V16" s="15">
        <v>1</v>
      </c>
      <c r="W16" s="25">
        <f t="shared" si="2"/>
        <v>4.783503212</v>
      </c>
      <c r="X16" s="25"/>
      <c r="Y16" s="16" t="str">
        <f>_xlfn.DISPIMG("ID_E23587BB02C24A618C064393F22E7117",1)</f>
        <v>=DISPIMG("ID_E23587BB02C24A618C064393F22E7117",1)</v>
      </c>
    </row>
    <row r="17" s="49" customFormat="1" ht="32" customHeight="1" spans="1:25">
      <c r="A17" s="15">
        <v>13</v>
      </c>
      <c r="B17" s="3" t="s">
        <v>71</v>
      </c>
      <c r="C17" s="3" t="s">
        <v>72</v>
      </c>
      <c r="D17" s="11"/>
      <c r="E17" s="3" t="s">
        <v>73</v>
      </c>
      <c r="F17" s="71" t="s">
        <v>26</v>
      </c>
      <c r="G17" s="3">
        <v>185.82</v>
      </c>
      <c r="H17" s="13">
        <v>85.59</v>
      </c>
      <c r="I17" s="12">
        <v>3</v>
      </c>
      <c r="J17" s="25">
        <f t="shared" si="0"/>
        <v>0.37454706099</v>
      </c>
      <c r="K17" s="25"/>
      <c r="L17" s="25">
        <v>5</v>
      </c>
      <c r="M17" s="25">
        <f t="shared" si="3"/>
        <v>1.87273530495</v>
      </c>
      <c r="N17" s="25">
        <f t="shared" si="1"/>
        <v>1.87273530495</v>
      </c>
      <c r="O17" s="15" t="s">
        <v>74</v>
      </c>
      <c r="P17" s="15" t="s">
        <v>75</v>
      </c>
      <c r="Q17" s="17" t="s">
        <v>76</v>
      </c>
      <c r="R17" s="15"/>
      <c r="S17" s="15" t="s">
        <v>28</v>
      </c>
      <c r="T17" s="15">
        <v>0.8</v>
      </c>
      <c r="U17" s="3">
        <v>5.3</v>
      </c>
      <c r="V17" s="15">
        <v>1</v>
      </c>
      <c r="W17" s="25">
        <f t="shared" si="2"/>
        <v>7.17273530495</v>
      </c>
      <c r="X17" s="25"/>
      <c r="Y17" s="16" t="str">
        <f>_xlfn.DISPIMG("ID_CBDA95D1D4B84D5F9F596AA3690FE97D",1)</f>
        <v>=DISPIMG("ID_CBDA95D1D4B84D5F9F596AA3690FE97D",1)</v>
      </c>
    </row>
    <row r="18" s="49" customFormat="1" ht="32" customHeight="1" spans="1:25">
      <c r="A18" s="15">
        <v>14</v>
      </c>
      <c r="B18" s="3" t="s">
        <v>77</v>
      </c>
      <c r="C18" s="3" t="s">
        <v>78</v>
      </c>
      <c r="D18" s="11"/>
      <c r="E18" s="3" t="s">
        <v>79</v>
      </c>
      <c r="F18" s="71" t="s">
        <v>26</v>
      </c>
      <c r="G18" s="3">
        <v>141.5</v>
      </c>
      <c r="H18" s="13">
        <v>106.5</v>
      </c>
      <c r="I18" s="12">
        <v>2.5</v>
      </c>
      <c r="J18" s="25">
        <f t="shared" si="0"/>
        <v>0.29574384375</v>
      </c>
      <c r="K18" s="25"/>
      <c r="L18" s="25">
        <v>5</v>
      </c>
      <c r="M18" s="25">
        <f t="shared" si="3"/>
        <v>1.47871921875</v>
      </c>
      <c r="N18" s="25">
        <f t="shared" si="1"/>
        <v>1.47871921875</v>
      </c>
      <c r="O18" s="15" t="s">
        <v>80</v>
      </c>
      <c r="P18" s="15" t="s">
        <v>28</v>
      </c>
      <c r="Q18" s="15" t="s">
        <v>28</v>
      </c>
      <c r="R18" s="15" t="s">
        <v>28</v>
      </c>
      <c r="S18" s="15" t="s">
        <v>81</v>
      </c>
      <c r="T18" s="15"/>
      <c r="U18" s="3">
        <v>4.42</v>
      </c>
      <c r="V18" s="15">
        <v>1</v>
      </c>
      <c r="W18" s="25">
        <f t="shared" si="2"/>
        <v>5.89871921875</v>
      </c>
      <c r="X18" s="25"/>
      <c r="Y18" s="16" t="str">
        <f>_xlfn.DISPIMG("ID_C028BBAE1483421B80B4204E0DAC3402",1)</f>
        <v>=DISPIMG("ID_C028BBAE1483421B80B4204E0DAC3402",1)</v>
      </c>
    </row>
    <row r="19" ht="32" customHeight="1" spans="1:25">
      <c r="A19" s="15">
        <v>15</v>
      </c>
      <c r="B19" s="3" t="s">
        <v>82</v>
      </c>
      <c r="C19" s="3" t="s">
        <v>83</v>
      </c>
      <c r="D19" s="11"/>
      <c r="E19" s="3" t="s">
        <v>84</v>
      </c>
      <c r="F19" s="71" t="s">
        <v>26</v>
      </c>
      <c r="G19" s="3">
        <v>102</v>
      </c>
      <c r="H19" s="13">
        <v>46</v>
      </c>
      <c r="I19" s="89" t="s">
        <v>85</v>
      </c>
      <c r="J19" s="25">
        <f t="shared" ref="J19:J21" si="4">G19*H19*I19*2.73/1000000</f>
        <v>0.01280916</v>
      </c>
      <c r="K19" s="25"/>
      <c r="L19" s="25">
        <v>24</v>
      </c>
      <c r="M19" s="25">
        <f t="shared" si="3"/>
        <v>0.30741984</v>
      </c>
      <c r="N19" s="25">
        <f t="shared" si="1"/>
        <v>0.30741984</v>
      </c>
      <c r="O19" s="15" t="s">
        <v>86</v>
      </c>
      <c r="P19" s="15" t="s">
        <v>28</v>
      </c>
      <c r="Q19" s="80" t="s">
        <v>28</v>
      </c>
      <c r="R19" s="15" t="s">
        <v>28</v>
      </c>
      <c r="S19" s="15" t="s">
        <v>28</v>
      </c>
      <c r="T19" s="15"/>
      <c r="U19" s="3">
        <v>1</v>
      </c>
      <c r="V19" s="15">
        <v>1</v>
      </c>
      <c r="W19" s="25">
        <f t="shared" si="2"/>
        <v>1.30741984</v>
      </c>
      <c r="X19" s="25"/>
      <c r="Y19" s="16" t="str">
        <f>_xlfn.DISPIMG("ID_14BAAD46F4DF4AFDB0DAA4E02BF6B4B6",1)</f>
        <v>=DISPIMG("ID_14BAAD46F4DF4AFDB0DAA4E02BF6B4B6",1)</v>
      </c>
    </row>
    <row r="20" ht="45.6" spans="1:25">
      <c r="A20" s="15">
        <v>16</v>
      </c>
      <c r="B20" s="37" t="s">
        <v>87</v>
      </c>
      <c r="C20" s="90" t="s">
        <v>88</v>
      </c>
      <c r="D20" s="39"/>
      <c r="E20" s="37" t="s">
        <v>89</v>
      </c>
      <c r="F20" s="71" t="s">
        <v>26</v>
      </c>
      <c r="G20" s="81">
        <v>390</v>
      </c>
      <c r="H20" s="81">
        <v>81.97</v>
      </c>
      <c r="I20" s="81">
        <v>0.5</v>
      </c>
      <c r="J20" s="25">
        <f t="shared" si="4"/>
        <v>0.0436367295</v>
      </c>
      <c r="K20" s="25"/>
      <c r="L20" s="25">
        <v>50</v>
      </c>
      <c r="M20" s="25">
        <f t="shared" si="3"/>
        <v>2.181836475</v>
      </c>
      <c r="N20" s="25">
        <f t="shared" si="1"/>
        <v>2.181836475</v>
      </c>
      <c r="O20" s="17" t="s">
        <v>90</v>
      </c>
      <c r="P20" s="81"/>
      <c r="Q20" s="82"/>
      <c r="R20" s="81"/>
      <c r="S20" s="83" t="s">
        <v>91</v>
      </c>
      <c r="T20" s="83"/>
      <c r="U20" s="83">
        <v>2.544</v>
      </c>
      <c r="V20" s="15">
        <v>1</v>
      </c>
      <c r="W20" s="84">
        <f>V20*U20+V21*U21+N20+N21</f>
        <v>8.0219003726</v>
      </c>
      <c r="X20" s="83"/>
      <c r="Y20" s="3" t="str">
        <f>_xlfn.DISPIMG("ID_9F364F2A0C0F455FB13784DAE61641BE",1)</f>
        <v>=DISPIMG("ID_9F364F2A0C0F455FB13784DAE61641BE",1)</v>
      </c>
    </row>
    <row r="21" ht="45.6" spans="1:25">
      <c r="A21" s="15">
        <v>17</v>
      </c>
      <c r="B21" s="41"/>
      <c r="C21" s="38"/>
      <c r="D21" s="39"/>
      <c r="E21" s="41"/>
      <c r="F21" s="71" t="s">
        <v>26</v>
      </c>
      <c r="G21" s="81">
        <v>24.4</v>
      </c>
      <c r="H21" s="81">
        <v>24.4</v>
      </c>
      <c r="I21" s="81">
        <v>4</v>
      </c>
      <c r="J21" s="25">
        <f t="shared" si="4"/>
        <v>0.0065013312</v>
      </c>
      <c r="K21" s="25"/>
      <c r="L21" s="25">
        <v>24</v>
      </c>
      <c r="M21" s="25">
        <f t="shared" si="3"/>
        <v>0.1560319488</v>
      </c>
      <c r="N21" s="25">
        <f t="shared" si="1"/>
        <v>0.3120638976</v>
      </c>
      <c r="O21" s="17" t="s">
        <v>92</v>
      </c>
      <c r="P21" s="17" t="s">
        <v>93</v>
      </c>
      <c r="Q21" s="82"/>
      <c r="R21" s="81"/>
      <c r="S21" s="83" t="s">
        <v>28</v>
      </c>
      <c r="T21" s="83"/>
      <c r="U21" s="83">
        <v>1.492</v>
      </c>
      <c r="V21" s="15">
        <v>2</v>
      </c>
      <c r="W21" s="85"/>
      <c r="X21" s="83"/>
      <c r="Y21" s="3" t="str">
        <f>_xlfn.DISPIMG("ID_3A13E3F3695340D3A8565F0F94B99C99",1)</f>
        <v>=DISPIMG("ID_3A13E3F3695340D3A8565F0F94B99C99",1)</v>
      </c>
    </row>
    <row r="22" ht="45.6" spans="1:25">
      <c r="A22" s="15">
        <v>18</v>
      </c>
      <c r="B22" s="42"/>
      <c r="C22" s="90" t="s">
        <v>94</v>
      </c>
      <c r="D22" s="39"/>
      <c r="E22" s="42"/>
      <c r="F22" s="71" t="s">
        <v>26</v>
      </c>
      <c r="G22" s="81">
        <v>560.55</v>
      </c>
      <c r="H22" s="81">
        <v>199.7</v>
      </c>
      <c r="I22" s="81">
        <v>2</v>
      </c>
      <c r="J22" s="25">
        <f t="shared" ref="J22:J24" si="5">G22*H22*I22*7.85/1000000</f>
        <v>1.7574868095</v>
      </c>
      <c r="K22" s="25"/>
      <c r="L22" s="25">
        <v>5</v>
      </c>
      <c r="M22" s="25">
        <f t="shared" si="3"/>
        <v>8.7874340475</v>
      </c>
      <c r="N22" s="25">
        <f t="shared" si="1"/>
        <v>8.7874340475</v>
      </c>
      <c r="O22" s="17" t="s">
        <v>95</v>
      </c>
      <c r="P22" s="81"/>
      <c r="Q22" s="82"/>
      <c r="R22" s="81" t="s">
        <v>63</v>
      </c>
      <c r="S22" s="83" t="s">
        <v>70</v>
      </c>
      <c r="T22" s="83"/>
      <c r="U22" s="83">
        <v>9.564</v>
      </c>
      <c r="V22" s="15">
        <v>1</v>
      </c>
      <c r="W22" s="25">
        <f>U22+M22</f>
        <v>18.3514340475</v>
      </c>
      <c r="X22" s="83"/>
      <c r="Y22" s="3" t="str">
        <f>_xlfn.DISPIMG("ID_423A7617E5E745FD97B2C27E55FBC63A",1)</f>
        <v>=DISPIMG("ID_423A7617E5E745FD97B2C27E55FBC63A",1)</v>
      </c>
    </row>
    <row r="23" ht="45.6" spans="1:25">
      <c r="A23" s="15">
        <v>21</v>
      </c>
      <c r="B23" s="42"/>
      <c r="C23" s="90" t="s">
        <v>96</v>
      </c>
      <c r="D23" s="39"/>
      <c r="E23" s="42"/>
      <c r="F23" s="71" t="s">
        <v>26</v>
      </c>
      <c r="G23" s="81">
        <v>560.55</v>
      </c>
      <c r="H23" s="81">
        <v>199.7</v>
      </c>
      <c r="I23" s="81">
        <v>2</v>
      </c>
      <c r="J23" s="25">
        <f t="shared" si="5"/>
        <v>1.7574868095</v>
      </c>
      <c r="K23" s="25"/>
      <c r="L23" s="25">
        <v>5</v>
      </c>
      <c r="M23" s="25">
        <f t="shared" si="3"/>
        <v>8.7874340475</v>
      </c>
      <c r="N23" s="25">
        <f t="shared" si="1"/>
        <v>8.7874340475</v>
      </c>
      <c r="O23" s="17" t="s">
        <v>95</v>
      </c>
      <c r="P23" s="81"/>
      <c r="Q23" s="82"/>
      <c r="R23" s="81" t="s">
        <v>63</v>
      </c>
      <c r="S23" s="83" t="s">
        <v>70</v>
      </c>
      <c r="T23" s="83"/>
      <c r="U23" s="83">
        <v>9.564</v>
      </c>
      <c r="V23" s="15">
        <v>1</v>
      </c>
      <c r="W23" s="25">
        <f>U23+M23</f>
        <v>18.3514340475</v>
      </c>
      <c r="X23" s="83"/>
      <c r="Y23" s="3" t="str">
        <f>_xlfn.DISPIMG("ID_A7CBA4BBABF349C096D892D610CEBE9D",1)</f>
        <v>=DISPIMG("ID_A7CBA4BBABF349C096D892D610CEBE9D",1)</v>
      </c>
    </row>
    <row r="24" ht="45.6" spans="1:25">
      <c r="A24" s="15">
        <v>24</v>
      </c>
      <c r="B24" s="42" t="s">
        <v>97</v>
      </c>
      <c r="C24" s="91" t="s">
        <v>98</v>
      </c>
      <c r="D24" s="39"/>
      <c r="E24" s="42" t="s">
        <v>99</v>
      </c>
      <c r="F24" s="71" t="s">
        <v>26</v>
      </c>
      <c r="G24" s="81">
        <v>206.79</v>
      </c>
      <c r="H24" s="81">
        <v>28</v>
      </c>
      <c r="I24" s="81">
        <v>3</v>
      </c>
      <c r="J24" s="25">
        <f t="shared" si="5"/>
        <v>0.136357326</v>
      </c>
      <c r="K24" s="25"/>
      <c r="L24" s="25">
        <v>5</v>
      </c>
      <c r="M24" s="25">
        <f t="shared" si="3"/>
        <v>0.68178663</v>
      </c>
      <c r="N24" s="25">
        <f t="shared" si="1"/>
        <v>0.68178663</v>
      </c>
      <c r="O24" s="17" t="s">
        <v>100</v>
      </c>
      <c r="P24" s="81"/>
      <c r="Q24" s="82"/>
      <c r="R24" s="81" t="s">
        <v>63</v>
      </c>
      <c r="S24" s="83" t="s">
        <v>45</v>
      </c>
      <c r="T24" s="83"/>
      <c r="U24" s="83">
        <v>4.08</v>
      </c>
      <c r="V24" s="15">
        <v>1</v>
      </c>
      <c r="W24" s="25">
        <f>U24+M24</f>
        <v>4.76178663</v>
      </c>
      <c r="X24" s="83"/>
      <c r="Y24" s="3" t="str">
        <f>_xlfn.DISPIMG("ID_28F7E0F9A8214A8CB0A3DA59E881E8E2",1)</f>
        <v>=DISPIMG("ID_28F7E0F9A8214A8CB0A3DA59E881E8E2",1)</v>
      </c>
    </row>
    <row r="25" ht="31" customHeight="1" spans="1:25">
      <c r="W25" s="52">
        <f>SUM(W6:W24)</f>
        <v>225.444822449415</v>
      </c>
    </row>
  </sheetData>
  <autoFilter xmlns:etc="http://www.wps.cn/officeDocument/2017/etCustomData" ref="B5:WQZ19" etc:filterBottomFollowUsedRange="0">
    <extLst/>
  </autoFilter>
  <mergeCells count="11">
    <mergeCell ref="G5:I5"/>
    <mergeCell ref="B10:B13"/>
    <mergeCell ref="B20:B21"/>
    <mergeCell ref="C10:C13"/>
    <mergeCell ref="C20:C21"/>
    <mergeCell ref="E10:E13"/>
    <mergeCell ref="E20:E21"/>
    <mergeCell ref="W10:W13"/>
    <mergeCell ref="W20:W21"/>
    <mergeCell ref="Z10:Z13"/>
    <mergeCell ref="A1:X4"/>
  </mergeCells>
  <conditionalFormatting sqref="A1">
    <cfRule type="duplicateValues" dxfId="0" priority="78"/>
  </conditionalFormatting>
  <conditionalFormatting sqref="B1:B5 B20 B22:B1048576">
    <cfRule type="duplicateValues" dxfId="0" priority="24"/>
  </conditionalFormatting>
  <conditionalFormatting sqref="B5 B20 B22:B1048576">
    <cfRule type="duplicateValues" dxfId="0" priority="79"/>
  </conditionalFormatting>
  <conditionalFormatting sqref="B6:C10 B14:C19">
    <cfRule type="duplicateValues" dxfId="0" priority="4"/>
    <cfRule type="duplicateValues" dxfId="0" priority="3"/>
  </conditionalFormatting>
  <conditionalFormatting sqref="E6:E10 E14:E19">
    <cfRule type="duplicateValues" dxfId="0" priority="2"/>
    <cfRule type="duplicateValues" dxfId="0" priority="1"/>
  </conditionalFormatting>
  <pageMargins left="0.314583333333333" right="0.156944444444444" top="0.75" bottom="0.75" header="0.3" footer="0.3"/>
  <pageSetup paperSize="9" scale="4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S22"/>
  <sheetViews>
    <sheetView zoomScale="85" zoomScaleNormal="85" workbookViewId="0">
      <pane xSplit="3" ySplit="3" topLeftCell="AG12" activePane="bottomRight" state="frozen"/>
      <selection/>
      <selection pane="topRight"/>
      <selection pane="bottomLeft"/>
      <selection pane="bottomRight" activeCell="AS18" sqref="AS18:AS22"/>
    </sheetView>
  </sheetViews>
  <sheetFormatPr defaultColWidth="9" defaultRowHeight="14"/>
  <cols>
    <col min="2" max="2" width="30" customWidth="1"/>
    <col min="3" max="3" width="25.8818181818182" customWidth="1"/>
    <col min="4" max="4" width="8.23636363636364" customWidth="1"/>
    <col min="5" max="5" width="36.5454545454545" customWidth="1"/>
    <col min="6" max="6" width="4.91818181818182" customWidth="1"/>
    <col min="12" max="12" width="9.50909090909091" customWidth="1"/>
    <col min="19" max="19" width="24.1272727272727" customWidth="1"/>
    <col min="21" max="23" width="8.12727272727273" customWidth="1"/>
    <col min="24" max="30" width="10.2545454545455" customWidth="1"/>
    <col min="34" max="34" width="15.7545454545455" customWidth="1"/>
    <col min="35" max="36" width="8.12727272727273" customWidth="1"/>
    <col min="38" max="38" width="15.7363636363636" customWidth="1"/>
  </cols>
  <sheetData>
    <row r="1" customFormat="1" ht="74" customHeight="1" spans="2:45">
      <c r="B1" s="2" t="s">
        <v>101</v>
      </c>
      <c r="C1" s="2" t="str">
        <f>_xlfn.DISPIMG("ID_6837BD14CB44440AB8F17A6E3C07B958",1)</f>
        <v>=DISPIMG("ID_6837BD14CB44440AB8F17A6E3C07B958",1)</v>
      </c>
      <c r="D1" s="2"/>
      <c r="E1" s="2"/>
      <c r="F1" s="2"/>
      <c r="U1" s="2"/>
      <c r="V1" s="2"/>
      <c r="W1" s="2"/>
      <c r="X1" s="2"/>
      <c r="Y1" s="2"/>
      <c r="Z1" s="2"/>
      <c r="AA1" s="2"/>
      <c r="AB1" s="2"/>
      <c r="AC1" s="2"/>
      <c r="AD1" s="2"/>
      <c r="AI1" s="2"/>
      <c r="AJ1" s="2"/>
    </row>
    <row r="2" customFormat="1" ht="30" customHeight="1" spans="2:45">
      <c r="B2" s="2"/>
      <c r="C2" s="2"/>
      <c r="D2" s="2"/>
      <c r="E2" s="2"/>
      <c r="F2" s="2"/>
      <c r="G2" s="3" t="s">
        <v>102</v>
      </c>
      <c r="H2" s="3"/>
      <c r="I2" s="3"/>
      <c r="J2" s="3"/>
      <c r="M2" s="3" t="s">
        <v>103</v>
      </c>
      <c r="N2" s="3"/>
      <c r="O2" s="3"/>
      <c r="P2" s="3"/>
      <c r="Q2" s="3"/>
      <c r="R2" s="3"/>
      <c r="S2" s="3"/>
      <c r="U2" s="4" t="s">
        <v>104</v>
      </c>
      <c r="V2" s="4"/>
      <c r="W2" s="4"/>
      <c r="X2" s="4"/>
      <c r="Y2" s="5"/>
      <c r="Z2" s="6" t="s">
        <v>105</v>
      </c>
      <c r="AA2" s="7"/>
      <c r="AB2" s="7"/>
      <c r="AC2" s="7"/>
      <c r="AD2" s="5"/>
      <c r="AE2" s="3" t="s">
        <v>16</v>
      </c>
      <c r="AF2" s="3"/>
      <c r="AG2" s="3"/>
      <c r="AH2" s="3"/>
      <c r="AI2" s="2"/>
      <c r="AJ2" s="2"/>
      <c r="AK2" s="3" t="s">
        <v>106</v>
      </c>
      <c r="AL2" s="3"/>
      <c r="AM2" s="3"/>
      <c r="AN2" s="3"/>
      <c r="AO2" s="3"/>
      <c r="AP2" s="3"/>
      <c r="AQ2" s="3"/>
      <c r="AS2" s="8" t="s">
        <v>107</v>
      </c>
    </row>
    <row r="3" customFormat="1" spans="2:45">
      <c r="G3" s="3" t="s">
        <v>108</v>
      </c>
      <c r="H3" s="3" t="s">
        <v>109</v>
      </c>
      <c r="I3" s="3" t="s">
        <v>110</v>
      </c>
      <c r="J3" s="3" t="s">
        <v>110</v>
      </c>
      <c r="K3"/>
      <c r="L3"/>
      <c r="M3" s="3" t="s">
        <v>111</v>
      </c>
      <c r="N3" s="3" t="s">
        <v>112</v>
      </c>
      <c r="O3" s="3" t="s">
        <v>113</v>
      </c>
      <c r="P3" s="3" t="s">
        <v>114</v>
      </c>
      <c r="Q3" s="3" t="s">
        <v>115</v>
      </c>
      <c r="R3" s="9" t="s">
        <v>116</v>
      </c>
      <c r="S3" s="3" t="s">
        <v>117</v>
      </c>
      <c r="U3" s="8" t="s">
        <v>118</v>
      </c>
      <c r="V3" s="8" t="s">
        <v>119</v>
      </c>
      <c r="W3" s="10" t="s">
        <v>120</v>
      </c>
      <c r="X3" s="8" t="s">
        <v>121</v>
      </c>
      <c r="Z3" s="3" t="s">
        <v>118</v>
      </c>
      <c r="AA3" s="3" t="s">
        <v>119</v>
      </c>
      <c r="AB3" s="9" t="s">
        <v>120</v>
      </c>
      <c r="AC3" s="3" t="s">
        <v>121</v>
      </c>
      <c r="AE3" s="3" t="s">
        <v>16</v>
      </c>
      <c r="AF3" s="3" t="s">
        <v>122</v>
      </c>
      <c r="AG3" s="9" t="s">
        <v>123</v>
      </c>
      <c r="AH3" s="3" t="s">
        <v>124</v>
      </c>
      <c r="AK3" s="8" t="s">
        <v>106</v>
      </c>
      <c r="AL3" s="3" t="s">
        <v>125</v>
      </c>
      <c r="AM3" s="3"/>
      <c r="AN3" s="3"/>
      <c r="AO3" s="3" t="s">
        <v>115</v>
      </c>
      <c r="AP3" s="9" t="s">
        <v>126</v>
      </c>
      <c r="AQ3" s="3" t="s">
        <v>127</v>
      </c>
      <c r="AS3" s="8"/>
    </row>
    <row r="4" s="1" customFormat="1" ht="26" spans="2:45">
      <c r="B4" s="3" t="s">
        <v>23</v>
      </c>
      <c r="C4" s="3" t="s">
        <v>24</v>
      </c>
      <c r="D4" s="11"/>
      <c r="E4" s="3" t="s">
        <v>25</v>
      </c>
      <c r="F4"/>
      <c r="G4" s="12">
        <v>685.65</v>
      </c>
      <c r="H4" s="12">
        <v>641.58</v>
      </c>
      <c r="I4" s="3">
        <f t="shared" ref="I4:I17" si="0">G4+10</f>
        <v>695.65</v>
      </c>
      <c r="J4" s="13">
        <f t="shared" ref="J4:J17" si="1">H4+10</f>
        <v>651.58</v>
      </c>
      <c r="K4" s="14"/>
      <c r="L4" s="15"/>
      <c r="M4" s="12">
        <v>0.3</v>
      </c>
      <c r="N4" s="16">
        <v>4.72</v>
      </c>
      <c r="O4" s="3">
        <f>MAX(VALUE(M4*0.8),0.8)</f>
        <v>0.8</v>
      </c>
      <c r="P4" s="16">
        <v>43</v>
      </c>
      <c r="Q4" s="3">
        <f t="shared" ref="Q4:Q14" si="2">MAX(VALUE(M4*0.1*0.8),0.1)</f>
        <v>0.1</v>
      </c>
      <c r="R4" s="3">
        <f t="shared" ref="R4:R17" si="3">N4*O4+P4*Q4</f>
        <v>8.076</v>
      </c>
      <c r="S4" s="17" t="str">
        <f t="shared" ref="S4:S17" si="4">_xlfn.TEXTJOIN("",,N4,"*",O4,"+",P4,"*",Q4,"=",N4*O4+P4*Q4)</f>
        <v>4.72*0.8+43*0.1=8.076</v>
      </c>
      <c r="U4" s="15"/>
      <c r="V4" s="18">
        <v>0.1</v>
      </c>
      <c r="W4" s="19">
        <f t="shared" ref="W4:W17" si="5">V4*U4</f>
        <v>0</v>
      </c>
      <c r="X4" s="17" t="str">
        <f t="shared" ref="X4:X17" si="6">IF(U4*V4=0,"",_xlfn.TEXTJOIN("",TRUE,U4,"*",V4,"=",U4*V4))</f>
        <v/>
      </c>
      <c r="Y4" s="20"/>
      <c r="Z4" s="15"/>
      <c r="AA4" s="17"/>
      <c r="AB4" s="19">
        <f t="shared" ref="AB4:AB11" si="7">AA4*Z4</f>
        <v>0</v>
      </c>
      <c r="AC4" s="17" t="str">
        <f>IF(Z4*AA4=0,"",_xlfn.TEXTJOIN("",TRUE,Z4,"*",AA4,"=",Z4*AA4))</f>
        <v/>
      </c>
      <c r="AD4" s="20"/>
      <c r="AE4" s="21"/>
      <c r="AF4" s="3">
        <v>0.15</v>
      </c>
      <c r="AG4" s="3">
        <f t="shared" ref="AG4:AG17" si="8">AF4*AE4</f>
        <v>0</v>
      </c>
      <c r="AH4" s="17" t="str">
        <f>IF(AE4*AF4=0,"",_xlfn.TEXTJOIN("",TRUE,AE4,"*",AF4,"=",AE4*AF4))</f>
        <v/>
      </c>
      <c r="AI4" s="22"/>
      <c r="AJ4" s="22"/>
      <c r="AK4" s="15">
        <v>15</v>
      </c>
      <c r="AL4" s="23">
        <f>MAX(AM4,AN4)</f>
        <v>695.65</v>
      </c>
      <c r="AM4" s="3">
        <v>695.65</v>
      </c>
      <c r="AN4" s="13">
        <v>651.58</v>
      </c>
      <c r="AO4" s="17">
        <f t="shared" ref="AO4:AO17" si="9">IF(AL4&lt;=300,0.3,IF(AL4&lt;=500,0.5,IF(AL4&lt;=800,0.8,IF(AL4&lt;=1000,1,IF(AL4&lt;=1500,1.5,IF(AO4&lt;=2000,2,2.5))))))</f>
        <v>0.8</v>
      </c>
      <c r="AP4" s="19">
        <f t="shared" ref="AP4:AP17" si="10">AO4*AK4</f>
        <v>12</v>
      </c>
      <c r="AQ4" s="17" t="str">
        <f t="shared" ref="AQ4:AQ17" si="11">IF(AK4*AO4=0,"",_xlfn.TEXTJOIN("",TRUE,AK4,"*",AO4,"=",AK4*AO4))</f>
        <v>15*0.8=12</v>
      </c>
      <c r="AS4" s="3">
        <f>AP4+AG4+W4+R4+AB4</f>
        <v>20.076</v>
      </c>
    </row>
    <row r="5" s="1" customFormat="1" ht="26" spans="2:45">
      <c r="B5" s="3" t="s">
        <v>30</v>
      </c>
      <c r="C5" s="3" t="s">
        <v>31</v>
      </c>
      <c r="D5" s="11"/>
      <c r="E5" s="3" t="s">
        <v>25</v>
      </c>
      <c r="F5"/>
      <c r="G5" s="12">
        <v>220.52</v>
      </c>
      <c r="H5" s="12">
        <v>158.48</v>
      </c>
      <c r="I5" s="3">
        <f t="shared" si="0"/>
        <v>230.52</v>
      </c>
      <c r="J5" s="13">
        <f t="shared" si="1"/>
        <v>168.48</v>
      </c>
      <c r="K5" s="14"/>
      <c r="L5" s="15"/>
      <c r="M5" s="12">
        <v>0.3</v>
      </c>
      <c r="N5" s="16">
        <v>0.85</v>
      </c>
      <c r="O5" s="3">
        <f t="shared" ref="O5:O16" si="12">MAX(VALUE(M5*0.8),0.8)</f>
        <v>0.8</v>
      </c>
      <c r="P5" s="16">
        <v>6</v>
      </c>
      <c r="Q5" s="3">
        <f t="shared" si="2"/>
        <v>0.1</v>
      </c>
      <c r="R5" s="3">
        <f t="shared" si="3"/>
        <v>1.28</v>
      </c>
      <c r="S5" s="17" t="str">
        <f t="shared" si="4"/>
        <v>0.85*0.8+6*0.1=1.28</v>
      </c>
      <c r="U5" s="15"/>
      <c r="V5" s="18">
        <v>0.1</v>
      </c>
      <c r="W5" s="19">
        <f t="shared" si="5"/>
        <v>0</v>
      </c>
      <c r="X5" s="17" t="str">
        <f t="shared" si="6"/>
        <v/>
      </c>
      <c r="Y5" s="20"/>
      <c r="Z5" s="15"/>
      <c r="AA5" s="17"/>
      <c r="AB5" s="19">
        <f t="shared" si="7"/>
        <v>0</v>
      </c>
      <c r="AC5" s="17" t="str">
        <f>IF(Z5*AA5=0,"",_xlfn.TEXTJOIN("",TRUE,Z5,"*",AA5,"=",Z5*AA5))</f>
        <v/>
      </c>
      <c r="AD5" s="20"/>
      <c r="AE5" s="21"/>
      <c r="AF5" s="3">
        <v>0.15</v>
      </c>
      <c r="AG5" s="3">
        <f t="shared" si="8"/>
        <v>0</v>
      </c>
      <c r="AH5" s="17" t="str">
        <f>IF(AE5*AF5=0,"",_xlfn.TEXTJOIN("",TRUE,AE5,"*",AF5,"=",AE5*AF5))</f>
        <v/>
      </c>
      <c r="AI5" s="22"/>
      <c r="AJ5" s="22"/>
      <c r="AK5" s="15">
        <v>8</v>
      </c>
      <c r="AL5" s="23">
        <f t="shared" ref="AL5:AL17" si="13">MAX(AN5,AM5)</f>
        <v>230.52</v>
      </c>
      <c r="AM5" s="3">
        <v>230.52</v>
      </c>
      <c r="AN5" s="13">
        <v>168.48</v>
      </c>
      <c r="AO5" s="17">
        <f t="shared" si="9"/>
        <v>0.3</v>
      </c>
      <c r="AP5" s="19">
        <f t="shared" si="10"/>
        <v>2.4</v>
      </c>
      <c r="AQ5" s="17" t="str">
        <f t="shared" si="11"/>
        <v>8*0.3=2.4</v>
      </c>
      <c r="AS5" s="3">
        <f t="shared" ref="AS5:AS17" si="14">AP5+AG5+W5+R5+AB5</f>
        <v>3.68</v>
      </c>
    </row>
    <row r="6" s="1" customFormat="1" ht="26" spans="2:45">
      <c r="B6" s="3" t="s">
        <v>34</v>
      </c>
      <c r="C6" s="3" t="s">
        <v>35</v>
      </c>
      <c r="D6" s="11"/>
      <c r="E6" s="3" t="s">
        <v>25</v>
      </c>
      <c r="F6"/>
      <c r="G6" s="12">
        <v>324.04</v>
      </c>
      <c r="H6" s="12">
        <v>271.25</v>
      </c>
      <c r="I6" s="3">
        <f t="shared" si="0"/>
        <v>334.04</v>
      </c>
      <c r="J6" s="13">
        <f t="shared" si="1"/>
        <v>281.25</v>
      </c>
      <c r="K6" s="14"/>
      <c r="L6" s="24"/>
      <c r="M6" s="12">
        <v>0.3</v>
      </c>
      <c r="N6" s="16">
        <v>1.46</v>
      </c>
      <c r="O6" s="3">
        <f t="shared" si="12"/>
        <v>0.8</v>
      </c>
      <c r="P6" s="16">
        <v>9</v>
      </c>
      <c r="Q6" s="3">
        <f t="shared" si="2"/>
        <v>0.1</v>
      </c>
      <c r="R6" s="3">
        <f t="shared" si="3"/>
        <v>2.068</v>
      </c>
      <c r="S6" s="17" t="str">
        <f t="shared" si="4"/>
        <v>1.46*0.8+9*0.1=2.068</v>
      </c>
      <c r="U6" s="15"/>
      <c r="V6" s="18">
        <v>0.1</v>
      </c>
      <c r="W6" s="19">
        <f t="shared" si="5"/>
        <v>0</v>
      </c>
      <c r="X6" s="17" t="str">
        <f t="shared" si="6"/>
        <v/>
      </c>
      <c r="Y6" s="20"/>
      <c r="Z6" s="15"/>
      <c r="AA6" s="17"/>
      <c r="AB6" s="19">
        <f t="shared" si="7"/>
        <v>0</v>
      </c>
      <c r="AC6" s="17" t="str">
        <f>IF(Z6*AA6=0,"",_xlfn.TEXTJOIN("",TRUE,Z6,"*",AA6,"=",Z6*AA6))</f>
        <v/>
      </c>
      <c r="AD6" s="20"/>
      <c r="AE6" s="21"/>
      <c r="AF6" s="3">
        <v>0.15</v>
      </c>
      <c r="AG6" s="3">
        <f t="shared" si="8"/>
        <v>0</v>
      </c>
      <c r="AH6" s="17" t="str">
        <f>IF(AE6*AF6=0,"",_xlfn.TEXTJOIN("",TRUE,AE6,"*",AF6,"=",AE6*AF6))</f>
        <v/>
      </c>
      <c r="AI6" s="22"/>
      <c r="AJ6" s="22"/>
      <c r="AK6" s="15">
        <v>3</v>
      </c>
      <c r="AL6" s="23">
        <f t="shared" si="13"/>
        <v>334.04</v>
      </c>
      <c r="AM6" s="3">
        <v>334.04</v>
      </c>
      <c r="AN6" s="13">
        <v>281.25</v>
      </c>
      <c r="AO6" s="17">
        <f t="shared" si="9"/>
        <v>0.5</v>
      </c>
      <c r="AP6" s="19">
        <f t="shared" si="10"/>
        <v>1.5</v>
      </c>
      <c r="AQ6" s="17" t="str">
        <f t="shared" si="11"/>
        <v>3*0.5=1.5</v>
      </c>
      <c r="AS6" s="3">
        <f t="shared" si="14"/>
        <v>3.568</v>
      </c>
    </row>
    <row r="7" s="1" customFormat="1" ht="26" spans="2:45">
      <c r="B7" s="3" t="s">
        <v>38</v>
      </c>
      <c r="C7" s="3" t="s">
        <v>39</v>
      </c>
      <c r="D7" s="11"/>
      <c r="E7" s="3" t="s">
        <v>25</v>
      </c>
      <c r="F7"/>
      <c r="G7" s="12">
        <v>324.04</v>
      </c>
      <c r="H7" s="12">
        <v>271.25</v>
      </c>
      <c r="I7" s="3">
        <f t="shared" si="0"/>
        <v>334.04</v>
      </c>
      <c r="J7" s="13">
        <f t="shared" si="1"/>
        <v>281.25</v>
      </c>
      <c r="K7" s="14"/>
      <c r="L7" s="24"/>
      <c r="M7" s="12">
        <v>0.3</v>
      </c>
      <c r="N7" s="16">
        <v>1.46</v>
      </c>
      <c r="O7" s="3">
        <f t="shared" si="12"/>
        <v>0.8</v>
      </c>
      <c r="P7" s="16">
        <v>9</v>
      </c>
      <c r="Q7" s="3">
        <f t="shared" si="2"/>
        <v>0.1</v>
      </c>
      <c r="R7" s="3">
        <f t="shared" si="3"/>
        <v>2.068</v>
      </c>
      <c r="S7" s="17" t="str">
        <f t="shared" si="4"/>
        <v>1.46*0.8+9*0.1=2.068</v>
      </c>
      <c r="U7" s="15"/>
      <c r="V7" s="18">
        <v>0.1</v>
      </c>
      <c r="W7" s="19">
        <f t="shared" si="5"/>
        <v>0</v>
      </c>
      <c r="X7" s="17" t="str">
        <f t="shared" si="6"/>
        <v/>
      </c>
      <c r="Y7" s="20"/>
      <c r="Z7" s="15"/>
      <c r="AA7" s="17"/>
      <c r="AB7" s="19">
        <f t="shared" si="7"/>
        <v>0</v>
      </c>
      <c r="AC7" s="17" t="str">
        <f>IF(Z7*AA7=0,"",_xlfn.TEXTJOIN("",TRUE,Z7,"*",AA7,"=",Z7*AA7))</f>
        <v/>
      </c>
      <c r="AD7" s="20"/>
      <c r="AE7" s="21"/>
      <c r="AF7" s="3">
        <v>0.15</v>
      </c>
      <c r="AG7" s="3">
        <f t="shared" si="8"/>
        <v>0</v>
      </c>
      <c r="AH7" s="17" t="str">
        <f>IF(AE7*AF7=0,"",_xlfn.TEXTJOIN("",TRUE,AE7,"*",AF7,"=",AE7*AF7))</f>
        <v/>
      </c>
      <c r="AI7" s="22"/>
      <c r="AJ7" s="22"/>
      <c r="AK7" s="15">
        <v>3</v>
      </c>
      <c r="AL7" s="23">
        <f t="shared" si="13"/>
        <v>334.04</v>
      </c>
      <c r="AM7" s="3">
        <v>334.04</v>
      </c>
      <c r="AN7" s="13">
        <v>281.25</v>
      </c>
      <c r="AO7" s="17">
        <f t="shared" si="9"/>
        <v>0.5</v>
      </c>
      <c r="AP7" s="19">
        <f t="shared" si="10"/>
        <v>1.5</v>
      </c>
      <c r="AQ7" s="17" t="str">
        <f t="shared" si="11"/>
        <v>3*0.5=1.5</v>
      </c>
      <c r="AS7" s="3">
        <f t="shared" si="14"/>
        <v>3.568</v>
      </c>
    </row>
    <row r="8" s="1" customFormat="1" ht="26" spans="2:45">
      <c r="B8" s="3" t="s">
        <v>40</v>
      </c>
      <c r="C8" s="3" t="s">
        <v>41</v>
      </c>
      <c r="D8" s="11"/>
      <c r="E8" s="3" t="s">
        <v>43</v>
      </c>
      <c r="F8" s="1">
        <v>1</v>
      </c>
      <c r="G8" s="12">
        <v>685</v>
      </c>
      <c r="H8" s="12">
        <v>292.2</v>
      </c>
      <c r="I8" s="3">
        <f t="shared" si="0"/>
        <v>695</v>
      </c>
      <c r="J8" s="13">
        <f t="shared" si="1"/>
        <v>302.2</v>
      </c>
      <c r="K8" s="14"/>
      <c r="L8" s="24"/>
      <c r="M8" s="12">
        <v>1.5</v>
      </c>
      <c r="N8" s="16">
        <v>5.8</v>
      </c>
      <c r="O8" s="3">
        <f t="shared" si="12"/>
        <v>1.2</v>
      </c>
      <c r="P8" s="16">
        <v>33</v>
      </c>
      <c r="Q8" s="3">
        <f t="shared" si="2"/>
        <v>0.12</v>
      </c>
      <c r="R8" s="3">
        <f t="shared" si="3"/>
        <v>10.92</v>
      </c>
      <c r="S8" s="17" t="str">
        <f t="shared" si="4"/>
        <v>5.8*1.2+33*0.12=10.92</v>
      </c>
      <c r="U8" s="15"/>
      <c r="V8" s="18">
        <v>0.1</v>
      </c>
      <c r="W8" s="19">
        <f t="shared" si="5"/>
        <v>0</v>
      </c>
      <c r="X8" s="17" t="str">
        <f t="shared" si="6"/>
        <v/>
      </c>
      <c r="Y8" s="20"/>
      <c r="Z8" s="15">
        <v>4</v>
      </c>
      <c r="AA8" s="17">
        <v>0.3</v>
      </c>
      <c r="AB8" s="19">
        <f t="shared" si="7"/>
        <v>1.2</v>
      </c>
      <c r="AC8" s="17" t="str">
        <f>IF(Z8*AA8=0,"",_xlfn.TEXTJOIN("",TRUE,Z8,"*",AA8,"=",Z8*AA8))</f>
        <v>4*0.3=1.2</v>
      </c>
      <c r="AD8" s="20"/>
      <c r="AE8" s="21"/>
      <c r="AF8" s="3">
        <v>0.15</v>
      </c>
      <c r="AG8" s="3">
        <f t="shared" si="8"/>
        <v>0</v>
      </c>
      <c r="AH8" s="17" t="str">
        <f>IF(AE8*AF8=0,"",_xlfn.TEXTJOIN("",TRUE,AE8,"*",AF8,"=",AE8*AF8))</f>
        <v/>
      </c>
      <c r="AI8" s="22"/>
      <c r="AJ8" s="22"/>
      <c r="AK8" s="15">
        <v>3</v>
      </c>
      <c r="AL8" s="23">
        <f t="shared" si="13"/>
        <v>695</v>
      </c>
      <c r="AM8" s="3">
        <v>695</v>
      </c>
      <c r="AN8" s="13">
        <v>302.2</v>
      </c>
      <c r="AO8" s="17">
        <f t="shared" si="9"/>
        <v>0.8</v>
      </c>
      <c r="AP8" s="19">
        <f t="shared" si="10"/>
        <v>2.4</v>
      </c>
      <c r="AQ8" s="17" t="str">
        <f t="shared" si="11"/>
        <v>3*0.8=2.4</v>
      </c>
      <c r="AS8" s="3">
        <f t="shared" si="14"/>
        <v>14.52</v>
      </c>
    </row>
    <row r="9" s="1" customFormat="1" ht="26" spans="2:45">
      <c r="B9" s="3"/>
      <c r="C9" s="3"/>
      <c r="D9" s="11"/>
      <c r="E9" s="3"/>
      <c r="F9" s="1">
        <v>1</v>
      </c>
      <c r="G9" s="12">
        <v>652.9</v>
      </c>
      <c r="H9" s="12">
        <v>209.9</v>
      </c>
      <c r="I9" s="3">
        <f t="shared" si="0"/>
        <v>662.9</v>
      </c>
      <c r="J9" s="13">
        <f t="shared" si="1"/>
        <v>219.9</v>
      </c>
      <c r="K9" s="14"/>
      <c r="L9" s="24"/>
      <c r="M9" s="12">
        <v>1.5</v>
      </c>
      <c r="N9" s="16">
        <v>5.02</v>
      </c>
      <c r="O9" s="3">
        <f t="shared" si="12"/>
        <v>1.2</v>
      </c>
      <c r="P9" s="16">
        <v>54</v>
      </c>
      <c r="Q9" s="3">
        <f t="shared" si="2"/>
        <v>0.12</v>
      </c>
      <c r="R9" s="3">
        <f t="shared" si="3"/>
        <v>12.504</v>
      </c>
      <c r="S9" s="17" t="str">
        <f t="shared" si="4"/>
        <v>5.02*1.2+54*0.12=12.504</v>
      </c>
      <c r="U9" s="15">
        <v>8</v>
      </c>
      <c r="V9" s="18">
        <v>2</v>
      </c>
      <c r="W9" s="19">
        <f t="shared" si="5"/>
        <v>16</v>
      </c>
      <c r="X9" s="17" t="str">
        <f t="shared" si="6"/>
        <v>8*2=16</v>
      </c>
      <c r="Y9" s="20"/>
      <c r="Z9" s="15"/>
      <c r="AA9" s="17"/>
      <c r="AB9" s="19">
        <f t="shared" si="7"/>
        <v>0</v>
      </c>
      <c r="AC9" s="17" t="str">
        <f t="shared" ref="AC9:AC17" si="15">IF(Z9*AA9=0,"",_xlfn.TEXTJOIN("",TRUE,Z9,"*",AA9,"=",Z9*AA9))</f>
        <v/>
      </c>
      <c r="AD9" s="20"/>
      <c r="AE9" s="21"/>
      <c r="AF9" s="3">
        <v>0.15</v>
      </c>
      <c r="AG9" s="3">
        <f t="shared" si="8"/>
        <v>0</v>
      </c>
      <c r="AH9" s="17"/>
      <c r="AI9" s="22"/>
      <c r="AJ9" s="22"/>
      <c r="AK9" s="15">
        <v>8</v>
      </c>
      <c r="AL9" s="23">
        <f t="shared" si="13"/>
        <v>662.9</v>
      </c>
      <c r="AM9" s="3">
        <v>662.9</v>
      </c>
      <c r="AN9" s="13">
        <v>219.9</v>
      </c>
      <c r="AO9" s="17">
        <f t="shared" si="9"/>
        <v>0.8</v>
      </c>
      <c r="AP9" s="19">
        <f t="shared" si="10"/>
        <v>6.4</v>
      </c>
      <c r="AQ9" s="17" t="str">
        <f t="shared" si="11"/>
        <v>8*0.8=6.4</v>
      </c>
      <c r="AS9" s="3">
        <f t="shared" si="14"/>
        <v>34.904</v>
      </c>
    </row>
    <row r="10" s="1" customFormat="1" ht="21" spans="2:45">
      <c r="B10" s="3"/>
      <c r="C10" s="3"/>
      <c r="D10" s="11"/>
      <c r="E10" s="3"/>
      <c r="F10" s="1">
        <v>2</v>
      </c>
      <c r="G10" s="12">
        <v>96</v>
      </c>
      <c r="H10" s="12">
        <v>60</v>
      </c>
      <c r="I10" s="3">
        <f t="shared" si="0"/>
        <v>106</v>
      </c>
      <c r="J10" s="13">
        <f t="shared" si="1"/>
        <v>70</v>
      </c>
      <c r="K10" s="14"/>
      <c r="L10" s="24"/>
      <c r="M10" s="12">
        <v>2</v>
      </c>
      <c r="N10" s="16">
        <v>0.77</v>
      </c>
      <c r="O10" s="3">
        <f t="shared" si="12"/>
        <v>1.6</v>
      </c>
      <c r="P10" s="16">
        <v>15</v>
      </c>
      <c r="Q10" s="3">
        <f t="shared" si="2"/>
        <v>0.16</v>
      </c>
      <c r="R10" s="3">
        <f t="shared" si="3"/>
        <v>3.632</v>
      </c>
      <c r="S10" s="17" t="str">
        <f t="shared" si="4"/>
        <v>0.77*1.6+15*0.16=3.632</v>
      </c>
      <c r="U10" s="15">
        <v>8</v>
      </c>
      <c r="V10" s="18">
        <v>0.1</v>
      </c>
      <c r="W10" s="19">
        <f t="shared" si="5"/>
        <v>0.8</v>
      </c>
      <c r="X10" s="17" t="str">
        <f t="shared" si="6"/>
        <v>8*0.1=0.8</v>
      </c>
      <c r="Y10" s="20"/>
      <c r="Z10" s="15"/>
      <c r="AA10" s="17"/>
      <c r="AB10" s="19">
        <f t="shared" si="7"/>
        <v>0</v>
      </c>
      <c r="AC10" s="17" t="str">
        <f t="shared" si="15"/>
        <v/>
      </c>
      <c r="AD10" s="20"/>
      <c r="AE10" s="21"/>
      <c r="AF10" s="3">
        <v>0.15</v>
      </c>
      <c r="AG10" s="3">
        <f t="shared" si="8"/>
        <v>0</v>
      </c>
      <c r="AH10" s="17"/>
      <c r="AI10" s="22"/>
      <c r="AJ10" s="22"/>
      <c r="AK10" s="15"/>
      <c r="AL10" s="23">
        <f t="shared" si="13"/>
        <v>106</v>
      </c>
      <c r="AM10" s="3">
        <v>106</v>
      </c>
      <c r="AN10" s="13">
        <v>70</v>
      </c>
      <c r="AO10" s="17">
        <f t="shared" si="9"/>
        <v>0.3</v>
      </c>
      <c r="AP10" s="19">
        <f t="shared" si="10"/>
        <v>0</v>
      </c>
      <c r="AQ10" s="17" t="str">
        <f t="shared" si="11"/>
        <v/>
      </c>
      <c r="AS10" s="3">
        <f t="shared" si="14"/>
        <v>4.432</v>
      </c>
    </row>
    <row r="11" s="1" customFormat="1" ht="21" spans="2:45">
      <c r="B11" s="3"/>
      <c r="C11" s="3"/>
      <c r="D11" s="11"/>
      <c r="E11" s="3"/>
      <c r="F11" s="1">
        <v>4</v>
      </c>
      <c r="G11" s="12">
        <v>49.97</v>
      </c>
      <c r="H11" s="12">
        <v>49.96</v>
      </c>
      <c r="I11" s="3">
        <f t="shared" si="0"/>
        <v>59.97</v>
      </c>
      <c r="J11" s="13">
        <f t="shared" si="1"/>
        <v>59.96</v>
      </c>
      <c r="K11" s="14"/>
      <c r="L11" s="24"/>
      <c r="M11" s="89" t="s">
        <v>55</v>
      </c>
      <c r="N11" s="16">
        <v>0.18</v>
      </c>
      <c r="O11" s="3">
        <f t="shared" si="12"/>
        <v>4</v>
      </c>
      <c r="P11" s="16">
        <v>2</v>
      </c>
      <c r="Q11" s="3">
        <f t="shared" si="2"/>
        <v>0.4</v>
      </c>
      <c r="R11" s="3">
        <f t="shared" si="3"/>
        <v>1.52</v>
      </c>
      <c r="S11" s="17" t="str">
        <f t="shared" si="4"/>
        <v>0.18*4+2*0.4=1.52</v>
      </c>
      <c r="U11" s="15">
        <v>4</v>
      </c>
      <c r="V11" s="18">
        <v>0.1</v>
      </c>
      <c r="W11" s="19">
        <f t="shared" si="5"/>
        <v>0.4</v>
      </c>
      <c r="X11" s="17" t="str">
        <f t="shared" si="6"/>
        <v>4*0.1=0.4</v>
      </c>
      <c r="Y11" s="20"/>
      <c r="Z11" s="15"/>
      <c r="AA11" s="17"/>
      <c r="AB11" s="19">
        <f t="shared" si="7"/>
        <v>0</v>
      </c>
      <c r="AC11" s="17" t="str">
        <f t="shared" si="15"/>
        <v/>
      </c>
      <c r="AD11" s="20"/>
      <c r="AE11" s="21">
        <v>4</v>
      </c>
      <c r="AF11" s="3">
        <v>0.15</v>
      </c>
      <c r="AG11" s="3">
        <f t="shared" si="8"/>
        <v>0.6</v>
      </c>
      <c r="AH11" s="17" t="str">
        <f t="shared" ref="AH11:AH17" si="16">IF(AE11*AF11=0,"",_xlfn.TEXTJOIN("",TRUE,AE11,"*",AF11,"=",AE11*AF11))</f>
        <v>4*0.15=0.6</v>
      </c>
      <c r="AI11" s="22"/>
      <c r="AJ11" s="22"/>
      <c r="AK11" s="15"/>
      <c r="AL11" s="23">
        <f t="shared" si="13"/>
        <v>59.97</v>
      </c>
      <c r="AM11" s="3">
        <v>59.97</v>
      </c>
      <c r="AN11" s="13">
        <v>59.96</v>
      </c>
      <c r="AO11" s="17">
        <f t="shared" si="9"/>
        <v>0.3</v>
      </c>
      <c r="AP11" s="19">
        <f t="shared" si="10"/>
        <v>0</v>
      </c>
      <c r="AQ11" s="17" t="str">
        <f t="shared" si="11"/>
        <v/>
      </c>
      <c r="AS11" s="3">
        <f t="shared" si="14"/>
        <v>2.52</v>
      </c>
    </row>
    <row r="12" s="1" customFormat="1" ht="21" spans="2:45">
      <c r="B12" s="3" t="s">
        <v>59</v>
      </c>
      <c r="C12" s="3" t="s">
        <v>60</v>
      </c>
      <c r="D12" s="11"/>
      <c r="E12" s="3" t="s">
        <v>61</v>
      </c>
      <c r="F12"/>
      <c r="G12" s="12">
        <v>57.23</v>
      </c>
      <c r="H12" s="12">
        <v>674.54</v>
      </c>
      <c r="I12" s="3">
        <f t="shared" si="0"/>
        <v>67.23</v>
      </c>
      <c r="J12" s="13">
        <f t="shared" si="1"/>
        <v>684.54</v>
      </c>
      <c r="K12" s="14"/>
      <c r="L12" s="25"/>
      <c r="M12" s="12">
        <v>2</v>
      </c>
      <c r="N12" s="16">
        <v>1.64</v>
      </c>
      <c r="O12" s="3">
        <f t="shared" si="12"/>
        <v>1.6</v>
      </c>
      <c r="P12" s="16">
        <v>11</v>
      </c>
      <c r="Q12" s="3">
        <f t="shared" si="2"/>
        <v>0.16</v>
      </c>
      <c r="R12" s="3">
        <f t="shared" si="3"/>
        <v>4.384</v>
      </c>
      <c r="S12" s="17" t="str">
        <f t="shared" si="4"/>
        <v>1.64*1.6+11*0.16=4.384</v>
      </c>
      <c r="U12" s="15"/>
      <c r="V12" s="18">
        <v>0.1</v>
      </c>
      <c r="W12" s="19">
        <f t="shared" si="5"/>
        <v>0</v>
      </c>
      <c r="X12" s="17" t="str">
        <f t="shared" si="6"/>
        <v/>
      </c>
      <c r="Y12" s="20"/>
      <c r="Z12" s="15"/>
      <c r="AA12" s="17"/>
      <c r="AB12" s="19">
        <f t="shared" ref="AB12:AB22" si="17">AA12*Z12</f>
        <v>0</v>
      </c>
      <c r="AC12" s="17" t="str">
        <f t="shared" si="15"/>
        <v/>
      </c>
      <c r="AD12" s="20"/>
      <c r="AE12" s="21">
        <v>2</v>
      </c>
      <c r="AF12" s="3">
        <v>0.15</v>
      </c>
      <c r="AG12" s="3">
        <f t="shared" si="8"/>
        <v>0.3</v>
      </c>
      <c r="AH12" s="17" t="str">
        <f t="shared" si="16"/>
        <v>2*0.15=0.3</v>
      </c>
      <c r="AI12" s="22"/>
      <c r="AJ12" s="22"/>
      <c r="AK12" s="15">
        <v>5</v>
      </c>
      <c r="AL12" s="23">
        <f t="shared" si="13"/>
        <v>684.54</v>
      </c>
      <c r="AM12" s="3">
        <v>67.23</v>
      </c>
      <c r="AN12" s="13">
        <v>684.54</v>
      </c>
      <c r="AO12" s="17">
        <f t="shared" si="9"/>
        <v>0.8</v>
      </c>
      <c r="AP12" s="19">
        <f t="shared" si="10"/>
        <v>4</v>
      </c>
      <c r="AQ12" s="17" t="str">
        <f t="shared" si="11"/>
        <v>5*0.8=4</v>
      </c>
      <c r="AS12" s="3">
        <f t="shared" si="14"/>
        <v>8.684</v>
      </c>
    </row>
    <row r="13" s="1" customFormat="1" ht="21" spans="2:45">
      <c r="B13" s="3" t="s">
        <v>65</v>
      </c>
      <c r="C13" s="3" t="s">
        <v>66</v>
      </c>
      <c r="D13" s="11"/>
      <c r="E13" s="3" t="s">
        <v>61</v>
      </c>
      <c r="F13"/>
      <c r="G13" s="12">
        <v>57.23</v>
      </c>
      <c r="H13" s="12">
        <v>674.54</v>
      </c>
      <c r="I13" s="3">
        <f t="shared" si="0"/>
        <v>67.23</v>
      </c>
      <c r="J13" s="13">
        <f t="shared" si="1"/>
        <v>684.54</v>
      </c>
      <c r="K13" s="14"/>
      <c r="L13" s="25"/>
      <c r="M13" s="12">
        <v>2</v>
      </c>
      <c r="N13" s="16">
        <v>1.64</v>
      </c>
      <c r="O13" s="3">
        <f t="shared" si="12"/>
        <v>1.6</v>
      </c>
      <c r="P13" s="16">
        <v>11</v>
      </c>
      <c r="Q13" s="3">
        <f t="shared" si="2"/>
        <v>0.16</v>
      </c>
      <c r="R13" s="3">
        <f t="shared" si="3"/>
        <v>4.384</v>
      </c>
      <c r="S13" s="17" t="str">
        <f t="shared" si="4"/>
        <v>1.64*1.6+11*0.16=4.384</v>
      </c>
      <c r="U13" s="15"/>
      <c r="V13" s="18">
        <v>0.1</v>
      </c>
      <c r="W13" s="19">
        <f t="shared" si="5"/>
        <v>0</v>
      </c>
      <c r="X13" s="17" t="str">
        <f t="shared" si="6"/>
        <v/>
      </c>
      <c r="Y13" s="20"/>
      <c r="Z13" s="15"/>
      <c r="AA13" s="17"/>
      <c r="AB13" s="19">
        <f t="shared" si="17"/>
        <v>0</v>
      </c>
      <c r="AC13" s="17" t="str">
        <f t="shared" si="15"/>
        <v/>
      </c>
      <c r="AD13" s="20"/>
      <c r="AE13" s="21">
        <v>2</v>
      </c>
      <c r="AF13" s="3">
        <v>0.15</v>
      </c>
      <c r="AG13" s="3">
        <f t="shared" si="8"/>
        <v>0.3</v>
      </c>
      <c r="AH13" s="17" t="str">
        <f t="shared" si="16"/>
        <v>2*0.15=0.3</v>
      </c>
      <c r="AI13" s="22"/>
      <c r="AJ13" s="22"/>
      <c r="AK13" s="15">
        <v>5</v>
      </c>
      <c r="AL13" s="23">
        <f t="shared" si="13"/>
        <v>684.54</v>
      </c>
      <c r="AM13" s="3">
        <v>67.23</v>
      </c>
      <c r="AN13" s="13">
        <v>684.54</v>
      </c>
      <c r="AO13" s="17">
        <f t="shared" si="9"/>
        <v>0.8</v>
      </c>
      <c r="AP13" s="19">
        <f t="shared" si="10"/>
        <v>4</v>
      </c>
      <c r="AQ13" s="17" t="str">
        <f t="shared" si="11"/>
        <v>5*0.8=4</v>
      </c>
      <c r="AS13" s="3">
        <f t="shared" si="14"/>
        <v>8.684</v>
      </c>
    </row>
    <row r="14" s="1" customFormat="1" ht="26" spans="2:45">
      <c r="B14" s="3" t="s">
        <v>67</v>
      </c>
      <c r="C14" s="3" t="s">
        <v>68</v>
      </c>
      <c r="D14" s="11"/>
      <c r="E14" s="3" t="s">
        <v>61</v>
      </c>
      <c r="F14"/>
      <c r="G14" s="12">
        <v>110.1</v>
      </c>
      <c r="H14" s="12">
        <v>108.32</v>
      </c>
      <c r="I14" s="26">
        <f t="shared" si="0"/>
        <v>120.1</v>
      </c>
      <c r="J14" s="27">
        <f t="shared" si="1"/>
        <v>118.32</v>
      </c>
      <c r="K14" s="28"/>
      <c r="L14" s="25"/>
      <c r="M14" s="12">
        <v>2</v>
      </c>
      <c r="N14" s="16">
        <v>0.53</v>
      </c>
      <c r="O14" s="3">
        <f t="shared" si="12"/>
        <v>1.6</v>
      </c>
      <c r="P14" s="16">
        <v>12</v>
      </c>
      <c r="Q14" s="26">
        <f t="shared" si="2"/>
        <v>0.16</v>
      </c>
      <c r="R14" s="26">
        <f t="shared" si="3"/>
        <v>2.768</v>
      </c>
      <c r="S14" s="29" t="str">
        <f t="shared" si="4"/>
        <v>0.53*1.6+12*0.16=2.768</v>
      </c>
      <c r="T14" s="30"/>
      <c r="U14" s="25"/>
      <c r="V14" s="18">
        <v>0.1</v>
      </c>
      <c r="W14" s="19">
        <f t="shared" si="5"/>
        <v>0</v>
      </c>
      <c r="X14" s="29" t="str">
        <f t="shared" si="6"/>
        <v/>
      </c>
      <c r="Y14" s="31"/>
      <c r="Z14" s="25"/>
      <c r="AA14" s="29"/>
      <c r="AB14" s="32">
        <f t="shared" si="17"/>
        <v>0</v>
      </c>
      <c r="AC14" s="17" t="str">
        <f t="shared" si="15"/>
        <v/>
      </c>
      <c r="AD14" s="31"/>
      <c r="AE14" s="33"/>
      <c r="AF14" s="26">
        <v>0.15</v>
      </c>
      <c r="AG14" s="26">
        <f t="shared" si="8"/>
        <v>0</v>
      </c>
      <c r="AH14" s="29" t="str">
        <f t="shared" si="16"/>
        <v/>
      </c>
      <c r="AI14" s="34"/>
      <c r="AJ14" s="34"/>
      <c r="AK14" s="25">
        <v>3</v>
      </c>
      <c r="AL14" s="23">
        <f t="shared" si="13"/>
        <v>120.1</v>
      </c>
      <c r="AM14" s="26">
        <v>120.1</v>
      </c>
      <c r="AN14" s="27">
        <v>118.32</v>
      </c>
      <c r="AO14" s="29">
        <f t="shared" si="9"/>
        <v>0.3</v>
      </c>
      <c r="AP14" s="32">
        <f t="shared" si="10"/>
        <v>0.9</v>
      </c>
      <c r="AQ14" s="17" t="str">
        <f t="shared" si="11"/>
        <v>3*0.3=0.9</v>
      </c>
      <c r="AS14" s="3">
        <f t="shared" si="14"/>
        <v>3.668</v>
      </c>
    </row>
    <row r="15" s="1" customFormat="1" ht="21" spans="2:45">
      <c r="B15" s="3" t="s">
        <v>71</v>
      </c>
      <c r="C15" s="3" t="s">
        <v>72</v>
      </c>
      <c r="D15" s="11"/>
      <c r="E15" s="3" t="s">
        <v>73</v>
      </c>
      <c r="F15"/>
      <c r="G15" s="12">
        <v>175.82</v>
      </c>
      <c r="H15" s="12">
        <v>75.59</v>
      </c>
      <c r="I15" s="3">
        <f t="shared" si="0"/>
        <v>185.82</v>
      </c>
      <c r="J15" s="13">
        <f t="shared" si="1"/>
        <v>85.59</v>
      </c>
      <c r="K15" s="14"/>
      <c r="L15" s="25"/>
      <c r="M15" s="12">
        <v>3</v>
      </c>
      <c r="N15" s="16"/>
      <c r="O15" s="3"/>
      <c r="P15" s="16">
        <v>3</v>
      </c>
      <c r="Q15" s="3">
        <v>0.5</v>
      </c>
      <c r="R15" s="3">
        <f t="shared" si="3"/>
        <v>1.5</v>
      </c>
      <c r="S15" s="17" t="str">
        <f t="shared" si="4"/>
        <v>*+3*0.5=1.5</v>
      </c>
      <c r="U15" s="15">
        <v>1</v>
      </c>
      <c r="V15" s="18">
        <v>1</v>
      </c>
      <c r="W15" s="19">
        <f t="shared" si="5"/>
        <v>1</v>
      </c>
      <c r="X15" s="17" t="str">
        <f t="shared" si="6"/>
        <v>1*1=1</v>
      </c>
      <c r="Y15" s="20"/>
      <c r="Z15" s="15">
        <v>1</v>
      </c>
      <c r="AA15" s="29">
        <v>2</v>
      </c>
      <c r="AB15" s="19">
        <f t="shared" si="17"/>
        <v>2</v>
      </c>
      <c r="AC15" s="17" t="str">
        <f t="shared" si="15"/>
        <v>1*2=2</v>
      </c>
      <c r="AD15" s="20"/>
      <c r="AE15" s="35"/>
      <c r="AF15" s="3">
        <v>0.15</v>
      </c>
      <c r="AG15" s="3">
        <f t="shared" si="8"/>
        <v>0</v>
      </c>
      <c r="AH15" s="17" t="str">
        <f t="shared" si="16"/>
        <v/>
      </c>
      <c r="AI15" s="22"/>
      <c r="AJ15" s="22"/>
      <c r="AK15" s="15"/>
      <c r="AL15" s="23">
        <f t="shared" si="13"/>
        <v>185.82</v>
      </c>
      <c r="AM15" s="3">
        <v>185.82</v>
      </c>
      <c r="AN15" s="13">
        <v>85.59</v>
      </c>
      <c r="AO15" s="17">
        <f t="shared" si="9"/>
        <v>0.3</v>
      </c>
      <c r="AP15" s="19">
        <f t="shared" si="10"/>
        <v>0</v>
      </c>
      <c r="AQ15" s="17" t="str">
        <f t="shared" si="11"/>
        <v/>
      </c>
      <c r="AS15" s="3">
        <f t="shared" si="14"/>
        <v>4.5</v>
      </c>
    </row>
    <row r="16" s="1" customFormat="1" ht="26" spans="2:45">
      <c r="B16" s="3" t="s">
        <v>77</v>
      </c>
      <c r="C16" s="3" t="s">
        <v>78</v>
      </c>
      <c r="D16" s="11"/>
      <c r="E16" s="3" t="s">
        <v>79</v>
      </c>
      <c r="F16"/>
      <c r="G16" s="12">
        <v>131.5</v>
      </c>
      <c r="H16" s="12">
        <v>96.5</v>
      </c>
      <c r="I16" s="3">
        <f t="shared" si="0"/>
        <v>141.5</v>
      </c>
      <c r="J16" s="13">
        <f t="shared" si="1"/>
        <v>106.5</v>
      </c>
      <c r="K16" s="14"/>
      <c r="L16" s="25"/>
      <c r="M16" s="12">
        <v>2.5</v>
      </c>
      <c r="N16" s="16">
        <v>0.51</v>
      </c>
      <c r="O16" s="3">
        <f t="shared" si="12"/>
        <v>2</v>
      </c>
      <c r="P16" s="16">
        <v>14</v>
      </c>
      <c r="Q16" s="3">
        <f>MAX(VALUE(M16*0.1*0.8),0.1)</f>
        <v>0.2</v>
      </c>
      <c r="R16" s="3">
        <f t="shared" si="3"/>
        <v>3.82</v>
      </c>
      <c r="S16" s="17" t="str">
        <f t="shared" si="4"/>
        <v>0.51*2+14*0.2=3.82</v>
      </c>
      <c r="U16" s="15"/>
      <c r="V16" s="18">
        <v>0.1</v>
      </c>
      <c r="W16" s="19">
        <f t="shared" si="5"/>
        <v>0</v>
      </c>
      <c r="X16" s="17" t="str">
        <f t="shared" si="6"/>
        <v/>
      </c>
      <c r="Y16" s="20"/>
      <c r="Z16" s="15"/>
      <c r="AA16" s="17"/>
      <c r="AB16" s="19">
        <f t="shared" si="17"/>
        <v>0</v>
      </c>
      <c r="AC16" s="17" t="str">
        <f t="shared" si="15"/>
        <v/>
      </c>
      <c r="AD16" s="20"/>
      <c r="AE16" s="36"/>
      <c r="AF16" s="3">
        <v>0.15</v>
      </c>
      <c r="AG16" s="3">
        <f t="shared" si="8"/>
        <v>0</v>
      </c>
      <c r="AH16" s="17" t="str">
        <f t="shared" si="16"/>
        <v/>
      </c>
      <c r="AI16" s="22"/>
      <c r="AJ16" s="22"/>
      <c r="AK16" s="15">
        <v>2</v>
      </c>
      <c r="AL16" s="23">
        <f t="shared" si="13"/>
        <v>141.5</v>
      </c>
      <c r="AM16" s="3">
        <v>141.5</v>
      </c>
      <c r="AN16" s="13">
        <v>106.5</v>
      </c>
      <c r="AO16" s="17">
        <f t="shared" si="9"/>
        <v>0.3</v>
      </c>
      <c r="AP16" s="19">
        <f t="shared" si="10"/>
        <v>0.6</v>
      </c>
      <c r="AQ16" s="17" t="str">
        <f t="shared" si="11"/>
        <v>2*0.3=0.6</v>
      </c>
      <c r="AS16" s="3">
        <f t="shared" si="14"/>
        <v>4.42</v>
      </c>
    </row>
    <row r="17" s="1" customFormat="1" ht="21" spans="2:45">
      <c r="B17" s="3" t="s">
        <v>82</v>
      </c>
      <c r="C17" s="3" t="s">
        <v>83</v>
      </c>
      <c r="D17" s="11"/>
      <c r="E17" s="3" t="s">
        <v>84</v>
      </c>
      <c r="F17"/>
      <c r="G17" s="89" t="s">
        <v>128</v>
      </c>
      <c r="H17" s="89" t="s">
        <v>129</v>
      </c>
      <c r="I17" s="3">
        <f t="shared" si="0"/>
        <v>102</v>
      </c>
      <c r="J17" s="13">
        <f t="shared" si="1"/>
        <v>46</v>
      </c>
      <c r="K17" s="14"/>
      <c r="L17" s="25"/>
      <c r="M17" s="89" t="s">
        <v>85</v>
      </c>
      <c r="N17" s="25"/>
      <c r="O17" s="3">
        <f>MAX(VALUE(M17*0.8),0.8)</f>
        <v>0.8</v>
      </c>
      <c r="P17" s="3">
        <v>2</v>
      </c>
      <c r="Q17" s="3">
        <v>0.5</v>
      </c>
      <c r="R17" s="3">
        <f t="shared" si="3"/>
        <v>1</v>
      </c>
      <c r="S17" s="17" t="str">
        <f t="shared" si="4"/>
        <v>*0.8+2*0.5=1</v>
      </c>
      <c r="U17" s="15"/>
      <c r="V17" s="18">
        <v>0.1</v>
      </c>
      <c r="W17" s="19">
        <f t="shared" si="5"/>
        <v>0</v>
      </c>
      <c r="X17" s="17" t="str">
        <f t="shared" si="6"/>
        <v/>
      </c>
      <c r="Y17" s="20"/>
      <c r="Z17" s="15"/>
      <c r="AA17" s="17"/>
      <c r="AB17" s="19">
        <f t="shared" si="17"/>
        <v>0</v>
      </c>
      <c r="AC17" s="17" t="str">
        <f t="shared" si="15"/>
        <v/>
      </c>
      <c r="AD17" s="20"/>
      <c r="AE17" s="35"/>
      <c r="AF17" s="3">
        <v>0.15</v>
      </c>
      <c r="AG17" s="3">
        <f t="shared" si="8"/>
        <v>0</v>
      </c>
      <c r="AH17" s="17" t="str">
        <f t="shared" si="16"/>
        <v/>
      </c>
      <c r="AI17" s="22"/>
      <c r="AJ17" s="22"/>
      <c r="AK17" s="15"/>
      <c r="AL17" s="23">
        <f t="shared" si="13"/>
        <v>102</v>
      </c>
      <c r="AM17" s="3">
        <v>102</v>
      </c>
      <c r="AN17" s="13">
        <v>46</v>
      </c>
      <c r="AO17" s="17">
        <f t="shared" si="9"/>
        <v>0.3</v>
      </c>
      <c r="AP17" s="19">
        <f t="shared" si="10"/>
        <v>0</v>
      </c>
      <c r="AQ17" s="17" t="str">
        <f t="shared" si="11"/>
        <v/>
      </c>
      <c r="AS17" s="3">
        <f t="shared" si="14"/>
        <v>1</v>
      </c>
    </row>
    <row r="18" ht="21" spans="2:45">
      <c r="B18" s="37" t="s">
        <v>87</v>
      </c>
      <c r="C18" s="90" t="s">
        <v>88</v>
      </c>
      <c r="D18" s="39"/>
      <c r="E18" s="37" t="s">
        <v>89</v>
      </c>
      <c r="F18" s="91" t="s">
        <v>130</v>
      </c>
      <c r="G18" s="40">
        <v>380</v>
      </c>
      <c r="H18" s="40">
        <v>71.97</v>
      </c>
      <c r="I18" s="3">
        <f>G18+10</f>
        <v>390</v>
      </c>
      <c r="J18" s="13">
        <f>H18+10</f>
        <v>81.97</v>
      </c>
      <c r="M18" s="40">
        <v>0.5</v>
      </c>
      <c r="N18" s="3">
        <v>0.93</v>
      </c>
      <c r="O18" s="3">
        <f>MAX(VALUE(M18*0.8),0.8)</f>
        <v>0.8</v>
      </c>
      <c r="P18" s="3">
        <v>3</v>
      </c>
      <c r="Q18" s="3">
        <v>0.5</v>
      </c>
      <c r="R18" s="3">
        <f>N18*O18+P18*Q18</f>
        <v>2.244</v>
      </c>
      <c r="S18" s="17" t="str">
        <f>_xlfn.TEXTJOIN("",,N18,"*",O18,"+",P18,"*",Q18,"=",N18*O18+P18*Q18)</f>
        <v>0.93*0.8+3*0.5=2.244</v>
      </c>
      <c r="U18" s="15"/>
      <c r="V18" s="18">
        <v>0.1</v>
      </c>
      <c r="W18" s="19">
        <f>V18*U18</f>
        <v>0</v>
      </c>
      <c r="X18" s="17" t="str">
        <f>IF(U18*V18=0,"",_xlfn.TEXTJOIN("",TRUE,U18,"*",V18,"=",U18*V18))</f>
        <v/>
      </c>
      <c r="Y18" s="20"/>
      <c r="Z18" s="15"/>
      <c r="AA18" s="17"/>
      <c r="AB18" s="19">
        <f>AA18*Z18</f>
        <v>0</v>
      </c>
      <c r="AC18" s="17" t="str">
        <f>IF(Z18*AA18=0,"",_xlfn.TEXTJOIN("",TRUE,Z18,"*",AA18,"=",Z18*AA18))</f>
        <v/>
      </c>
      <c r="AD18" s="20"/>
      <c r="AE18" s="35"/>
      <c r="AF18" s="3">
        <v>0.15</v>
      </c>
      <c r="AG18" s="3">
        <f>AF18*AE18</f>
        <v>0</v>
      </c>
      <c r="AH18" s="17" t="str">
        <f>IF(AE18*AF18=0,"",_xlfn.TEXTJOIN("",TRUE,AE18,"*",AF18,"=",AE18*AF18))</f>
        <v/>
      </c>
      <c r="AI18" s="22"/>
      <c r="AJ18" s="22"/>
      <c r="AK18" s="15">
        <v>1</v>
      </c>
      <c r="AL18" s="23">
        <f>MAX(AN18,AM18)</f>
        <v>102</v>
      </c>
      <c r="AM18" s="3">
        <v>102</v>
      </c>
      <c r="AN18" s="13">
        <v>46</v>
      </c>
      <c r="AO18" s="17">
        <f>IF(AL18&lt;=300,0.3,IF(AL18&lt;=500,0.5,IF(AL18&lt;=800,0.8,IF(AL18&lt;=1000,1,IF(AL18&lt;=1500,1.5,IF(AO18&lt;=2000,2,2.5))))))</f>
        <v>0.3</v>
      </c>
      <c r="AP18" s="19">
        <f>AO18*AK18</f>
        <v>0.3</v>
      </c>
      <c r="AQ18" s="17" t="str">
        <f>IF(AK18*AO18=0,"",_xlfn.TEXTJOIN("",TRUE,AK18,"*",AO18,"=",AK18*AO18))</f>
        <v>1*0.3=0.3</v>
      </c>
      <c r="AR18" s="1"/>
      <c r="AS18" s="3">
        <f>AP18+AG18+W18+R18+AB18</f>
        <v>2.544</v>
      </c>
    </row>
    <row r="19" ht="21" spans="2:45">
      <c r="B19" s="41"/>
      <c r="C19" s="38"/>
      <c r="D19" s="39"/>
      <c r="E19" s="41"/>
      <c r="F19" s="91" t="s">
        <v>131</v>
      </c>
      <c r="G19" s="40">
        <v>14.4</v>
      </c>
      <c r="H19" s="40">
        <v>14.4</v>
      </c>
      <c r="I19" s="3">
        <f>G19+10</f>
        <v>24.4</v>
      </c>
      <c r="J19" s="13">
        <f>H19+10</f>
        <v>24.4</v>
      </c>
      <c r="M19" s="40">
        <v>4</v>
      </c>
      <c r="N19" s="3">
        <v>0.06</v>
      </c>
      <c r="O19" s="3">
        <f>MAX(VALUE(M19*0.8),0.8)</f>
        <v>3.2</v>
      </c>
      <c r="P19" s="3">
        <v>2</v>
      </c>
      <c r="Q19" s="3">
        <v>0.5</v>
      </c>
      <c r="R19" s="3">
        <f>N19*O19+P19*Q19</f>
        <v>1.192</v>
      </c>
      <c r="S19" s="17" t="str">
        <f>_xlfn.TEXTJOIN("",,N19,"*",O19,"+",P19,"*",Q19,"=",N19*O19+P19*Q19)</f>
        <v>0.06*3.2+2*0.5=1.192</v>
      </c>
      <c r="U19" s="15">
        <v>3</v>
      </c>
      <c r="V19" s="18">
        <v>0.1</v>
      </c>
      <c r="W19" s="19">
        <f>V19*U19</f>
        <v>0.3</v>
      </c>
      <c r="X19" s="17" t="str">
        <f>IF(U19*V19=0,"",_xlfn.TEXTJOIN("",TRUE,U19,"*",V19,"=",U19*V19))</f>
        <v>3*0.1=0.3</v>
      </c>
      <c r="Y19" s="20"/>
      <c r="Z19" s="15"/>
      <c r="AA19" s="17"/>
      <c r="AB19" s="19">
        <f>AA19*Z19</f>
        <v>0</v>
      </c>
      <c r="AC19" s="17" t="str">
        <f>IF(Z19*AA19=0,"",_xlfn.TEXTJOIN("",TRUE,Z19,"*",AA19,"=",Z19*AA19))</f>
        <v/>
      </c>
      <c r="AD19" s="20"/>
      <c r="AE19" s="35"/>
      <c r="AF19" s="3">
        <v>0.15</v>
      </c>
      <c r="AG19" s="3">
        <f>AF19*AE19</f>
        <v>0</v>
      </c>
      <c r="AH19" s="17" t="str">
        <f>IF(AE19*AF19=0,"",_xlfn.TEXTJOIN("",TRUE,AE19,"*",AF19,"=",AE19*AF19))</f>
        <v/>
      </c>
      <c r="AI19" s="22"/>
      <c r="AJ19" s="22"/>
      <c r="AK19" s="15"/>
      <c r="AL19" s="23">
        <f>MAX(AN19,AM19)</f>
        <v>102</v>
      </c>
      <c r="AM19" s="3">
        <v>102</v>
      </c>
      <c r="AN19" s="13">
        <v>46</v>
      </c>
      <c r="AO19" s="17">
        <f>IF(AL19&lt;=300,0.3,IF(AL19&lt;=500,0.5,IF(AL19&lt;=800,0.8,IF(AL19&lt;=1000,1,IF(AL19&lt;=1500,1.5,IF(AO19&lt;=2000,2,2.5))))))</f>
        <v>0.3</v>
      </c>
      <c r="AP19" s="19">
        <f>AO19*AK19</f>
        <v>0</v>
      </c>
      <c r="AQ19" s="17" t="str">
        <f>IF(AK19*AO19=0,"",_xlfn.TEXTJOIN("",TRUE,AK19,"*",AO19,"=",AK19*AO19))</f>
        <v/>
      </c>
      <c r="AR19" s="1"/>
      <c r="AS19" s="3">
        <f>AP19+AG19+W19+R19+AB19</f>
        <v>1.492</v>
      </c>
    </row>
    <row r="20" ht="21" spans="2:45">
      <c r="B20" s="42"/>
      <c r="C20" s="90" t="s">
        <v>94</v>
      </c>
      <c r="D20" s="39"/>
      <c r="E20" s="42"/>
      <c r="F20" s="91" t="s">
        <v>130</v>
      </c>
      <c r="G20" s="43" t="s">
        <v>132</v>
      </c>
      <c r="H20" s="44">
        <v>189.7</v>
      </c>
      <c r="I20" s="3">
        <f>G20+10</f>
        <v>560.55</v>
      </c>
      <c r="J20" s="13">
        <f>H20+10</f>
        <v>199.7</v>
      </c>
      <c r="M20" s="40">
        <v>2</v>
      </c>
      <c r="N20" s="3">
        <v>1.79</v>
      </c>
      <c r="O20" s="3">
        <f>MAX(VALUE(M20*0.8),0.8)</f>
        <v>1.6</v>
      </c>
      <c r="P20" s="3">
        <v>11</v>
      </c>
      <c r="Q20" s="3">
        <v>0.5</v>
      </c>
      <c r="R20" s="3">
        <f>N20*O20+P20*Q20</f>
        <v>8.364</v>
      </c>
      <c r="S20" s="17" t="str">
        <f>_xlfn.TEXTJOIN("",,N20,"*",O20,"+",P20,"*",Q20,"=",N20*O20+P20*Q20)</f>
        <v>1.79*1.6+11*0.5=8.364</v>
      </c>
      <c r="U20" s="15"/>
      <c r="V20" s="18">
        <v>0.1</v>
      </c>
      <c r="W20" s="19">
        <f>V20*U20</f>
        <v>0</v>
      </c>
      <c r="X20" s="17" t="str">
        <f>IF(U20*V20=0,"",_xlfn.TEXTJOIN("",TRUE,U20,"*",V20,"=",U20*V20))</f>
        <v/>
      </c>
      <c r="Y20" s="20"/>
      <c r="Z20" s="15"/>
      <c r="AA20" s="17"/>
      <c r="AB20" s="19">
        <f>AA20*Z20</f>
        <v>0</v>
      </c>
      <c r="AC20" s="17" t="str">
        <f>IF(Z20*AA20=0,"",_xlfn.TEXTJOIN("",TRUE,Z20,"*",AA20,"=",Z20*AA20))</f>
        <v/>
      </c>
      <c r="AD20" s="20"/>
      <c r="AE20" s="35">
        <v>2</v>
      </c>
      <c r="AF20" s="3">
        <v>0.15</v>
      </c>
      <c r="AG20" s="3">
        <f>AF20*AE20</f>
        <v>0.3</v>
      </c>
      <c r="AH20" s="17" t="str">
        <f>IF(AE20*AF20=0,"",_xlfn.TEXTJOIN("",TRUE,AE20,"*",AF20,"=",AE20*AF20))</f>
        <v>2*0.15=0.3</v>
      </c>
      <c r="AI20" s="22"/>
      <c r="AJ20" s="22"/>
      <c r="AK20" s="15">
        <v>3</v>
      </c>
      <c r="AL20" s="23">
        <f>MAX(AN20,AM20)</f>
        <v>102</v>
      </c>
      <c r="AM20" s="3">
        <v>102</v>
      </c>
      <c r="AN20" s="13">
        <v>46</v>
      </c>
      <c r="AO20" s="17">
        <f>IF(AL20&lt;=300,0.3,IF(AL20&lt;=500,0.5,IF(AL20&lt;=800,0.8,IF(AL20&lt;=1000,1,IF(AL20&lt;=1500,1.5,IF(AO20&lt;=2000,2,2.5))))))</f>
        <v>0.3</v>
      </c>
      <c r="AP20" s="19">
        <f>AO20*AK20</f>
        <v>0.9</v>
      </c>
      <c r="AQ20" s="17" t="str">
        <f>IF(AK20*AO20=0,"",_xlfn.TEXTJOIN("",TRUE,AK20,"*",AO20,"=",AK20*AO20))</f>
        <v>3*0.3=0.9</v>
      </c>
      <c r="AR20" s="1"/>
      <c r="AS20" s="3">
        <f>AP20+AG20+W20+R20+AB20</f>
        <v>9.564</v>
      </c>
    </row>
    <row r="21" ht="21" spans="2:45">
      <c r="B21" s="42"/>
      <c r="C21" s="90" t="s">
        <v>96</v>
      </c>
      <c r="D21" s="39"/>
      <c r="E21" s="42"/>
      <c r="F21" s="91" t="s">
        <v>130</v>
      </c>
      <c r="G21" s="45" t="s">
        <v>132</v>
      </c>
      <c r="H21" s="46">
        <v>189.7</v>
      </c>
      <c r="I21" s="3">
        <f>G21+10</f>
        <v>560.55</v>
      </c>
      <c r="J21" s="13">
        <f>H21+10</f>
        <v>199.7</v>
      </c>
      <c r="M21" s="40">
        <v>2</v>
      </c>
      <c r="N21" s="3">
        <v>1.79</v>
      </c>
      <c r="O21" s="3">
        <f>MAX(VALUE(M21*0.8),0.8)</f>
        <v>1.6</v>
      </c>
      <c r="P21" s="3">
        <v>11</v>
      </c>
      <c r="Q21" s="3">
        <v>0.5</v>
      </c>
      <c r="R21" s="3">
        <f>N21*O21+P21*Q21</f>
        <v>8.364</v>
      </c>
      <c r="S21" s="17" t="str">
        <f>_xlfn.TEXTJOIN("",,N21,"*",O21,"+",P21,"*",Q21,"=",N21*O21+P21*Q21)</f>
        <v>1.79*1.6+11*0.5=8.364</v>
      </c>
      <c r="U21" s="15"/>
      <c r="V21" s="18">
        <v>0.1</v>
      </c>
      <c r="W21" s="19">
        <f>V21*U21</f>
        <v>0</v>
      </c>
      <c r="X21" s="17" t="str">
        <f>IF(U21*V21=0,"",_xlfn.TEXTJOIN("",TRUE,U21,"*",V21,"=",U21*V21))</f>
        <v/>
      </c>
      <c r="Y21" s="20"/>
      <c r="Z21" s="15"/>
      <c r="AA21" s="17"/>
      <c r="AB21" s="19">
        <f>AA21*Z21</f>
        <v>0</v>
      </c>
      <c r="AC21" s="17" t="str">
        <f>IF(Z21*AA21=0,"",_xlfn.TEXTJOIN("",TRUE,Z21,"*",AA21,"=",Z21*AA21))</f>
        <v/>
      </c>
      <c r="AD21" s="20"/>
      <c r="AE21" s="35">
        <v>2</v>
      </c>
      <c r="AF21" s="3">
        <v>0.15</v>
      </c>
      <c r="AG21" s="3">
        <f>AF21*AE21</f>
        <v>0.3</v>
      </c>
      <c r="AH21" s="17" t="str">
        <f>IF(AE21*AF21=0,"",_xlfn.TEXTJOIN("",TRUE,AE21,"*",AF21,"=",AE21*AF21))</f>
        <v>2*0.15=0.3</v>
      </c>
      <c r="AI21" s="22"/>
      <c r="AJ21" s="22"/>
      <c r="AK21" s="15">
        <v>3</v>
      </c>
      <c r="AL21" s="23">
        <f>MAX(AN21,AM21)</f>
        <v>102</v>
      </c>
      <c r="AM21" s="3">
        <v>102</v>
      </c>
      <c r="AN21" s="13">
        <v>46</v>
      </c>
      <c r="AO21" s="17">
        <f>IF(AL21&lt;=300,0.3,IF(AL21&lt;=500,0.5,IF(AL21&lt;=800,0.8,IF(AL21&lt;=1000,1,IF(AL21&lt;=1500,1.5,IF(AO21&lt;=2000,2,2.5))))))</f>
        <v>0.3</v>
      </c>
      <c r="AP21" s="19">
        <f>AO21*AK21</f>
        <v>0.9</v>
      </c>
      <c r="AQ21" s="17" t="str">
        <f>IF(AK21*AO21=0,"",_xlfn.TEXTJOIN("",TRUE,AK21,"*",AO21,"=",AK21*AO21))</f>
        <v>3*0.3=0.9</v>
      </c>
      <c r="AR21" s="1"/>
      <c r="AS21" s="3">
        <f>AP21+AG21+W21+R21+AB21</f>
        <v>9.564</v>
      </c>
    </row>
    <row r="22" ht="26" spans="2:45">
      <c r="B22" s="42" t="s">
        <v>97</v>
      </c>
      <c r="C22" s="91" t="s">
        <v>98</v>
      </c>
      <c r="D22" s="39"/>
      <c r="E22" s="42" t="s">
        <v>99</v>
      </c>
      <c r="G22" s="40">
        <v>196.79</v>
      </c>
      <c r="H22" s="40">
        <v>18</v>
      </c>
      <c r="I22" s="3">
        <f>G22+10</f>
        <v>206.79</v>
      </c>
      <c r="J22" s="13">
        <f>H22+10</f>
        <v>28</v>
      </c>
      <c r="M22" s="40">
        <v>3</v>
      </c>
      <c r="N22" s="3">
        <v>0.45</v>
      </c>
      <c r="O22" s="3">
        <f>MAX(VALUE(M22*0.8),0.8)</f>
        <v>2.4</v>
      </c>
      <c r="P22" s="3">
        <v>3</v>
      </c>
      <c r="Q22" s="3">
        <v>0.5</v>
      </c>
      <c r="R22" s="3">
        <f>N22*O22+P22*Q22</f>
        <v>2.58</v>
      </c>
      <c r="S22" s="17" t="str">
        <f>_xlfn.TEXTJOIN("",,N22,"*",O22,"+",P22,"*",Q22,"=",N22*O22+P22*Q22)</f>
        <v>0.45*2.4+3*0.5=2.58</v>
      </c>
      <c r="U22" s="15"/>
      <c r="V22" s="18">
        <v>0.1</v>
      </c>
      <c r="W22" s="19">
        <f>V22*U22</f>
        <v>0</v>
      </c>
      <c r="X22" s="17" t="str">
        <f>IF(U22*V22=0,"",_xlfn.TEXTJOIN("",TRUE,U22,"*",V22,"=",U22*V22))</f>
        <v/>
      </c>
      <c r="Y22" s="20"/>
      <c r="Z22" s="15"/>
      <c r="AA22" s="17"/>
      <c r="AB22" s="19">
        <f>AA22*Z22</f>
        <v>0</v>
      </c>
      <c r="AC22" s="17" t="str">
        <f>IF(Z22*AA22=0,"",_xlfn.TEXTJOIN("",TRUE,Z22,"*",AA22,"=",Z22*AA22))</f>
        <v/>
      </c>
      <c r="AD22" s="20"/>
      <c r="AE22" s="35">
        <v>2</v>
      </c>
      <c r="AF22" s="3">
        <v>0.15</v>
      </c>
      <c r="AG22" s="3">
        <f>AF22*AE22</f>
        <v>0.3</v>
      </c>
      <c r="AH22" s="17" t="str">
        <f>IF(AE22*AF22=0,"",_xlfn.TEXTJOIN("",TRUE,AE22,"*",AF22,"=",AE22*AF22))</f>
        <v>2*0.15=0.3</v>
      </c>
      <c r="AI22" s="22"/>
      <c r="AJ22" s="22"/>
      <c r="AK22" s="15">
        <v>4</v>
      </c>
      <c r="AL22" s="23">
        <f>MAX(AN22,AM22)</f>
        <v>102</v>
      </c>
      <c r="AM22" s="3">
        <v>102</v>
      </c>
      <c r="AN22" s="13">
        <v>46</v>
      </c>
      <c r="AO22" s="17">
        <f>IF(AL22&lt;=300,0.3,IF(AL22&lt;=500,0.5,IF(AL22&lt;=800,0.8,IF(AL22&lt;=1000,1,IF(AL22&lt;=1500,1.5,IF(AO22&lt;=2000,2,2.5))))))</f>
        <v>0.3</v>
      </c>
      <c r="AP22" s="19">
        <f>AO22*AK22</f>
        <v>1.2</v>
      </c>
      <c r="AQ22" s="17" t="str">
        <f>IF(AK22*AO22=0,"",_xlfn.TEXTJOIN("",TRUE,AK22,"*",AO22,"=",AK22*AO22))</f>
        <v>4*0.3=1.2</v>
      </c>
      <c r="AR22" s="1"/>
      <c r="AS22" s="3">
        <f>AP22+AG22+W22+R22+AB22</f>
        <v>4.08</v>
      </c>
    </row>
  </sheetData>
  <mergeCells count="9">
    <mergeCell ref="G2:J2"/>
    <mergeCell ref="M2:S2"/>
    <mergeCell ref="U2:X2"/>
    <mergeCell ref="Z2:AC2"/>
    <mergeCell ref="AE2:AH2"/>
    <mergeCell ref="AK2:AQ2"/>
    <mergeCell ref="B18:B19"/>
    <mergeCell ref="C18:C19"/>
    <mergeCell ref="E18:E19"/>
  </mergeCells>
  <conditionalFormatting sqref="E4:E17">
    <cfRule type="duplicateValues" dxfId="0" priority="3"/>
    <cfRule type="duplicateValues" dxfId="0" priority="4"/>
  </conditionalFormatting>
  <conditionalFormatting sqref="B1:E3 D4:D17 C23:E37 B38:E1048576">
    <cfRule type="duplicateValues" dxfId="0" priority="8"/>
  </conditionalFormatting>
  <conditionalFormatting sqref="B1:B3 B38:B1048576">
    <cfRule type="duplicateValues" dxfId="0" priority="7"/>
  </conditionalFormatting>
  <conditionalFormatting sqref="B4:C17">
    <cfRule type="duplicateValues" dxfId="0" priority="6"/>
    <cfRule type="duplicateValues" dxfId="0" priority="5"/>
  </conditionalFormatting>
  <conditionalFormatting sqref="B18 B20:B22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给客户报价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之昂张</cp:lastModifiedBy>
  <dcterms:created xsi:type="dcterms:W3CDTF">2023-05-12T11:15:00Z</dcterms:created>
  <dcterms:modified xsi:type="dcterms:W3CDTF">2026-03-24T08:24:47Z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8DEFF5F58221409192D64E1280F89F81_13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